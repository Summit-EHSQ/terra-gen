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2d3b47925f4790" /></Relationships>
</file>

<file path=xl/workbook.xml><?xml version="1.0" encoding="utf-8"?>
<x:workbook xmlns:x="http://schemas.openxmlformats.org/spreadsheetml/2006/main">
  <x:sheets>
    <x:sheet xmlns:r="http://schemas.openxmlformats.org/officeDocument/2006/relationships" name="Summary" sheetId="1" r:id="R97e00638f7aa4db1"/>
    <x:sheet xmlns:r="http://schemas.openxmlformats.org/officeDocument/2006/relationships" name="Change Register" sheetId="2" r:id="R88960d22fd6e4c3c"/>
    <x:sheet xmlns:r="http://schemas.openxmlformats.org/officeDocument/2006/relationships" name="Sources &amp; Notes" sheetId="3" r:id="Re76fe62f8f844c4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12">
    <x:font>
      <x:sz val="11"/>
      <x:name val="Carlito"/>
    </x:font>
    <x:font>
      <x:b/>
      <x:sz val="16"/>
      <x:color rgb="FF17365D"/>
      <x:name val="Arial"/>
    </x:font>
    <x:font>
      <x:i/>
      <x:sz val="10"/>
      <x:color rgb="FF666666"/>
      <x:name val="Arial"/>
    </x:font>
    <x:font>
      <x:b/>
      <x:sz val="10"/>
      <x:color rgb="FFFFFFFF"/>
      <x:name val="Arial"/>
    </x:font>
    <x:font>
      <x:sz val="10"/>
      <x:color rgb="FF1F1F1F"/>
      <x:name val="Arial"/>
    </x:font>
    <x:font>
      <x:b/>
      <x:sz val="12"/>
      <x:color rgb="FF17365D"/>
      <x:name val="Arial"/>
    </x:font>
    <x:font>
      <x:b/>
      <x:sz val="10"/>
      <x:color rgb="FF17365D"/>
      <x:name val="Arial"/>
    </x:font>
    <x:font>
      <x:b/>
      <x:sz val="10"/>
      <x:color rgb="FF7F6000"/>
      <x:name val="Arial"/>
    </x:font>
    <x:font>
      <x:sz val="11"/>
      <x:name val="Arial"/>
    </x:font>
    <x:font>
      <x:sz val="9"/>
      <x:color rgb="FF1F1F1F"/>
      <x:name val="Arial"/>
    </x:font>
    <x:font>
      <x:b/>
      <x:sz val="9"/>
      <x:color rgb="FF17365D"/>
      <x:name val="Arial"/>
    </x:font>
    <x:font>
      <x:b/>
      <x:sz val="9"/>
      <x:color rgb="FF1F1F1F"/>
      <x:name val="Arial"/>
    </x:font>
  </x:fonts>
  <x:fills count="6">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D9EAF7"/>
      </x:patternFill>
    </x:fill>
    <x:fill>
      <x:patternFill patternType="solid">
        <x:fgColor rgb="FFF2F2F2"/>
      </x:patternFill>
    </x:fill>
  </x:fills>
  <x:borders count="13">
    <x:border/>
    <x:border>
      <x:bottom style="thin">
        <x:color rgb="FF4472C4"/>
      </x:bottom>
    </x:border>
    <x:border>
      <x:bottom style="thin">
        <x:color rgb="FFD9E2F3"/>
      </x:bottom>
    </x:border>
    <x:border>
      <x:top style="thin">
        <x:color rgb="FFD9E2F3"/>
      </x:top>
      <x:bottom style="thin">
        <x:color rgb="FFD9E2F3"/>
      </x:bottom>
    </x:border>
    <x:border>
      <x:top style="thin">
        <x:color rgb="FFD9E2F3"/>
      </x:top>
    </x:border>
    <x:border>
      <x:bottom style="thin">
        <x:color rgb="FFD6B656"/>
      </x:bottom>
    </x:border>
    <x:border>
      <x:right style="thin">
        <x:color rgb="FFFFFFFF"/>
      </x:right>
    </x:border>
    <x:border>
      <x:left style="thin">
        <x:color rgb="FFFFFFFF"/>
      </x:left>
      <x:right style="thin">
        <x:color rgb="FFFFFFFF"/>
      </x:right>
    </x:border>
    <x:border>
      <x:left style="thin">
        <x:color rgb="FFFFFFFF"/>
      </x:left>
    </x:border>
    <x:border>
      <x:bottom style="thin">
        <x:color rgb="FFE7E6E6"/>
      </x:bottom>
    </x:border>
    <x:border>
      <x:top style="thin">
        <x:color rgb="FFE7E6E6"/>
      </x:top>
      <x:bottom style="thin">
        <x:color rgb="FFE7E6E6"/>
      </x:bottom>
    </x:border>
    <x:border>
      <x:top style="thin">
        <x:color rgb="FFE7E6E6"/>
      </x:top>
    </x:border>
    <x:border>
      <x:top style="thin">
        <x:color rgb="FF4472C4"/>
      </x:top>
    </x:border>
  </x:borders>
  <x:cellStyleXfs count="1">
    <x:xf numFmtId="0" fontId="0" fillId="0" borderId="0"/>
  </x:cellStyleXfs>
  <x:cellXfs count="8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vertical="center"/>
    </x:xf>
    <x:xf numFmtId="0" fontId="4" fillId="0" borderId="3" xfId="0" applyNumberFormat="1" applyFont="1" applyFill="1" applyBorder="1" applyAlignment="1">
      <x:alignment vertical="center"/>
    </x:xf>
    <x:xf numFmtId="0" fontId="4" fillId="0" borderId="4" xfId="0" applyNumberFormat="1" applyFont="1" applyFill="1" applyBorder="1" applyAlignment="1">
      <x:alignment vertical="center"/>
    </x:xf>
    <x:xf numFmtId="0" fontId="5" fillId="0" borderId="2" xfId="0" applyNumberFormat="1" applyFont="1" applyFill="1" applyBorder="1" applyAlignment="1">
      <x:alignment vertical="center"/>
    </x:xf>
    <x:xf numFmtId="0" fontId="5" fillId="0" borderId="3" xfId="0" applyNumberFormat="1" applyFont="1" applyFill="1" applyBorder="1" applyAlignment="1">
      <x:alignment vertical="center"/>
    </x:xf>
    <x:xf numFmtId="0" fontId="5" fillId="0" borderId="4" xfId="0" applyNumberFormat="1" applyFont="1" applyFill="1" applyBorder="1" applyAlignment="1">
      <x:alignment vertical="center"/>
    </x:xf>
    <x:xf numFmtId="200" fontId="5" fillId="0" borderId="2" xfId="0" applyNumberFormat="1" applyFont="1" applyFill="1" applyBorder="1" applyAlignment="1">
      <x:alignment vertical="center"/>
    </x:xf>
    <x:xf numFmtId="200" fontId="5" fillId="0" borderId="3" xfId="0" applyNumberFormat="1" applyFont="1" applyFill="1" applyBorder="1" applyAlignment="1">
      <x:alignment vertical="center"/>
    </x:xf>
    <x:xf numFmtId="200" fontId="5" fillId="0" borderId="4" xfId="0" applyNumberFormat="1" applyFont="1" applyFill="1" applyBorder="1" applyAlignment="1">
      <x:alignment vertical="center"/>
    </x:xf>
    <x:xf numFmtId="200" fontId="5" fillId="0" borderId="2" xfId="0" applyNumberFormat="1" applyFont="1" applyFill="1" applyBorder="1" applyAlignment="1">
      <x:alignment horizontal="right" vertical="center"/>
    </x:xf>
    <x:xf numFmtId="200" fontId="5" fillId="0" borderId="3" xfId="0" applyNumberFormat="1" applyFont="1" applyFill="1" applyBorder="1" applyAlignment="1">
      <x:alignment horizontal="right" vertical="center"/>
    </x:xf>
    <x:xf numFmtId="200" fontId="5" fillId="0" borderId="4" xfId="0" applyNumberFormat="1" applyFont="1" applyFill="1" applyBorder="1" applyAlignment="1">
      <x:alignment horizontal="right" vertical="center"/>
    </x:xf>
    <x:xf numFmtId="0" fontId="6" fillId="0" borderId="2" xfId="0" applyNumberFormat="1" applyFont="1" applyFill="1" applyBorder="1" applyAlignment="1">
      <x:alignment vertical="center"/>
    </x:xf>
    <x:xf numFmtId="0" fontId="6" fillId="0" borderId="3" xfId="0" applyNumberFormat="1" applyFont="1" applyFill="1" applyBorder="1" applyAlignment="1">
      <x:alignment vertical="center"/>
    </x:xf>
    <x:xf numFmtId="0" fontId="6" fillId="0" borderId="4" xfId="0" applyNumberFormat="1" applyFont="1" applyFill="1" applyBorder="1" applyAlignment="1">
      <x:alignment vertical="center"/>
    </x:xf>
    <x:xf numFmtId="200" fontId="6" fillId="0" borderId="2" xfId="0" applyNumberFormat="1" applyFont="1" applyFill="1" applyBorder="1" applyAlignment="1">
      <x:alignment vertical="center"/>
    </x:xf>
    <x:xf numFmtId="200" fontId="6" fillId="0" borderId="3" xfId="0" applyNumberFormat="1" applyFont="1" applyFill="1" applyBorder="1" applyAlignment="1">
      <x:alignment vertical="center"/>
    </x:xf>
    <x:xf numFmtId="200" fontId="6" fillId="0" borderId="4" xfId="0" applyNumberFormat="1" applyFont="1" applyFill="1" applyBorder="1" applyAlignment="1">
      <x:alignment vertical="center"/>
    </x:xf>
    <x:xf numFmtId="200" fontId="6" fillId="0" borderId="2" xfId="0" applyNumberFormat="1" applyFont="1" applyFill="1" applyBorder="1" applyAlignment="1">
      <x:alignment horizontal="right" vertical="center"/>
    </x:xf>
    <x:xf numFmtId="200" fontId="6" fillId="0" borderId="3" xfId="0" applyNumberFormat="1" applyFont="1" applyFill="1" applyBorder="1" applyAlignment="1">
      <x:alignment horizontal="right" vertical="center"/>
    </x:xf>
    <x:xf numFmtId="200" fontId="6" fillId="0" borderId="4" xfId="0" applyNumberFormat="1" applyFont="1" applyFill="1" applyBorder="1" applyAlignment="1">
      <x:alignment horizontal="right" vertical="center"/>
    </x:xf>
    <x:xf numFmtId="0" fontId="0" fillId="3" borderId="0" xfId="0" applyNumberFormat="1" applyFont="1" applyFill="1" applyBorder="1"/>
    <x:xf numFmtId="0" fontId="7" fillId="3" borderId="0" xfId="0" applyNumberFormat="1" applyFont="1" applyFill="1" applyBorder="1"/>
    <x:xf numFmtId="0" fontId="7" fillId="3" borderId="5"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0" fillId="4" borderId="0" xfId="0" applyNumberFormat="1" applyFont="1" applyFill="1" applyBorder="1"/>
    <x:xf numFmtId="0" fontId="6" fillId="4" borderId="0" xfId="0" applyNumberFormat="1" applyFont="1" applyFill="1" applyBorder="1"/>
    <x:xf numFmtId="0" fontId="6" fillId="4" borderId="1"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vertical="top"/>
    </x:xf>
    <x:xf numFmtId="0" fontId="8" fillId="0" borderId="1" xfId="0" applyNumberFormat="1" applyFont="1" applyFill="1" applyBorder="1"/>
    <x:xf numFmtId="0" fontId="8" fillId="0" borderId="0" xfId="0" applyNumberFormat="1" applyFont="1" applyFill="1" applyBorder="1"/>
    <x:xf numFmtId="0" fontId="3" fillId="2" borderId="6" xfId="0" applyNumberFormat="1" applyFont="1" applyFill="1" applyBorder="1"/>
    <x:xf numFmtId="0" fontId="3" fillId="2" borderId="7" xfId="0" applyNumberFormat="1" applyFont="1" applyFill="1" applyBorder="1"/>
    <x:xf numFmtId="0" fontId="3" fillId="2" borderId="8" xfId="0" applyNumberFormat="1" applyFont="1" applyFill="1" applyBorder="1"/>
    <x:xf numFmtId="0" fontId="3" fillId="2" borderId="6" xfId="0" applyNumberFormat="1" applyFont="1" applyFill="1" applyBorder="1" applyAlignment="1">
      <x:alignment wrapText="1"/>
    </x:xf>
    <x:xf numFmtId="0" fontId="3" fillId="2" borderId="7" xfId="0" applyNumberFormat="1" applyFont="1" applyFill="1" applyBorder="1" applyAlignment="1">
      <x:alignment wrapText="1"/>
    </x:xf>
    <x:xf numFmtId="0" fontId="3" fillId="2" borderId="8" xfId="0" applyNumberFormat="1" applyFont="1" applyFill="1" applyBorder="1" applyAlignment="1">
      <x:alignment wrapText="1"/>
    </x:xf>
    <x:xf numFmtId="0" fontId="3" fillId="2" borderId="6" xfId="0" applyNumberFormat="1" applyFont="1" applyFill="1" applyBorder="1" applyAlignment="1">
      <x:alignment horizontal="center" wrapText="1"/>
    </x:xf>
    <x:xf numFmtId="0" fontId="3" fillId="2" borderId="7" xfId="0" applyNumberFormat="1" applyFont="1" applyFill="1" applyBorder="1" applyAlignment="1">
      <x:alignment horizontal="center" wrapText="1"/>
    </x:xf>
    <x:xf numFmtId="0" fontId="3" fillId="2" borderId="8" xfId="0" applyNumberFormat="1" applyFont="1" applyFill="1" applyBorder="1" applyAlignment="1">
      <x:alignment horizontal="center" wrapText="1"/>
    </x:xf>
    <x:xf numFmtId="0" fontId="3" fillId="2" borderId="6" xfId="0" applyNumberFormat="1" applyFont="1" applyFill="1" applyBorder="1" applyAlignment="1">
      <x:alignment horizontal="center" vertical="center" wrapText="1"/>
    </x:xf>
    <x:xf numFmtId="0" fontId="3" fillId="2" borderId="7" xfId="0" applyNumberFormat="1" applyFont="1" applyFill="1" applyBorder="1" applyAlignment="1">
      <x:alignment horizontal="center" vertical="center" wrapText="1"/>
    </x:xf>
    <x:xf numFmtId="0" fontId="3" fillId="2" borderId="8" xfId="0" applyNumberFormat="1" applyFont="1" applyFill="1" applyBorder="1" applyAlignment="1">
      <x:alignment horizontal="center" vertical="center" wrapText="1"/>
    </x:xf>
    <x:xf numFmtId="0" fontId="9" fillId="0" borderId="0" xfId="0" applyNumberFormat="1" applyFont="1" applyFill="1" applyBorder="1"/>
    <x:xf numFmtId="0" fontId="9" fillId="0" borderId="9" xfId="0" applyNumberFormat="1" applyFont="1" applyFill="1" applyBorder="1"/>
    <x:xf numFmtId="0" fontId="9" fillId="0" borderId="10" xfId="0" applyNumberFormat="1" applyFont="1" applyFill="1" applyBorder="1"/>
    <x:xf numFmtId="0" fontId="9" fillId="0" borderId="11" xfId="0" applyNumberFormat="1" applyFont="1" applyFill="1" applyBorder="1"/>
    <x:xf numFmtId="0" fontId="9" fillId="0" borderId="9" xfId="0" applyNumberFormat="1" applyFont="1" applyFill="1" applyBorder="1" applyAlignment="1">
      <x:alignment wrapText="1"/>
    </x:xf>
    <x:xf numFmtId="0" fontId="9" fillId="0" borderId="10" xfId="0" applyNumberFormat="1" applyFont="1" applyFill="1" applyBorder="1" applyAlignment="1">
      <x:alignment wrapText="1"/>
    </x:xf>
    <x:xf numFmtId="0" fontId="9" fillId="0" borderId="11" xfId="0" applyNumberFormat="1" applyFont="1" applyFill="1" applyBorder="1" applyAlignment="1">
      <x:alignment wrapText="1"/>
    </x:xf>
    <x:xf numFmtId="0" fontId="9" fillId="0" borderId="9" xfId="0" applyNumberFormat="1" applyFont="1" applyFill="1" applyBorder="1" applyAlignment="1">
      <x:alignment vertical="top" wrapText="1"/>
    </x:xf>
    <x:xf numFmtId="0" fontId="9" fillId="0" borderId="10" xfId="0" applyNumberFormat="1" applyFont="1" applyFill="1" applyBorder="1" applyAlignment="1">
      <x:alignment vertical="top" wrapText="1"/>
    </x:xf>
    <x:xf numFmtId="0" fontId="9" fillId="0" borderId="11" xfId="0" applyNumberFormat="1" applyFont="1" applyFill="1" applyBorder="1" applyAlignment="1">
      <x:alignment vertical="top" wrapText="1"/>
    </x:xf>
    <x:xf numFmtId="0" fontId="10" fillId="0" borderId="9" xfId="0" applyNumberFormat="1" applyFont="1" applyFill="1" applyBorder="1" applyAlignment="1">
      <x:alignment vertical="top" wrapText="1"/>
    </x:xf>
    <x:xf numFmtId="0" fontId="10" fillId="0" borderId="10" xfId="0" applyNumberFormat="1" applyFont="1" applyFill="1" applyBorder="1" applyAlignment="1">
      <x:alignment vertical="top" wrapText="1"/>
    </x:xf>
    <x:xf numFmtId="0" fontId="10" fillId="0" borderId="11" xfId="0" applyNumberFormat="1" applyFont="1" applyFill="1" applyBorder="1" applyAlignment="1">
      <x:alignment vertical="top" wrapText="1"/>
    </x:xf>
    <x:xf numFmtId="0" fontId="11" fillId="0" borderId="9" xfId="0" applyNumberFormat="1" applyFont="1" applyFill="1" applyBorder="1" applyAlignment="1">
      <x:alignment vertical="top" wrapText="1"/>
    </x:xf>
    <x:xf numFmtId="0" fontId="11" fillId="0" borderId="10" xfId="0" applyNumberFormat="1" applyFont="1" applyFill="1" applyBorder="1" applyAlignment="1">
      <x:alignment vertical="top" wrapText="1"/>
    </x:xf>
    <x:xf numFmtId="0" fontId="11" fillId="0" borderId="11" xfId="0" applyNumberFormat="1" applyFont="1" applyFill="1" applyBorder="1" applyAlignment="1">
      <x:alignment vertical="top" wrapText="1"/>
    </x:xf>
    <x:xf numFmtId="0" fontId="9" fillId="0" borderId="9" xfId="0" applyNumberFormat="1" applyFont="1" applyFill="1" applyBorder="1" applyAlignment="1">
      <x:alignment horizontal="center" vertical="top" wrapText="1"/>
    </x:xf>
    <x:xf numFmtId="0" fontId="9" fillId="0" borderId="10" xfId="0" applyNumberFormat="1" applyFont="1" applyFill="1" applyBorder="1" applyAlignment="1">
      <x:alignment horizontal="center" vertical="top" wrapText="1"/>
    </x:xf>
    <x:xf numFmtId="0" fontId="9" fillId="0" borderId="11" xfId="0" applyNumberFormat="1" applyFont="1" applyFill="1" applyBorder="1" applyAlignment="1">
      <x:alignment horizontal="center" vertical="top" wrapText="1"/>
    </x:xf>
    <x:xf numFmtId="0" fontId="4" fillId="5" borderId="4" xfId="0" applyNumberFormat="1" applyFont="1" applyFill="1" applyBorder="1"/>
    <x:xf numFmtId="0" fontId="6" fillId="5" borderId="4" xfId="0" applyNumberFormat="1" applyFont="1" applyFill="1" applyBorder="1"/>
    <x:xf numFmtId="0" fontId="6" fillId="5" borderId="12" xfId="0" applyNumberFormat="1" applyFont="1" applyFill="1" applyBorder="1"/>
    <x:xf numFmtId="201" fontId="4" fillId="0" borderId="2" xfId="0" applyNumberFormat="1" applyFont="1" applyFill="1" applyBorder="1"/>
    <x:xf numFmtId="201" fontId="4" fillId="0" borderId="3" xfId="0" applyNumberFormat="1" applyFont="1" applyFill="1" applyBorder="1"/>
    <x:xf numFmtId="201" fontId="6" fillId="5" borderId="12" xfId="0" applyNumberFormat="1" applyFont="1" applyFill="1" applyBorder="1"/>
    <x:xf numFmtId="201" fontId="4" fillId="0" borderId="2" xfId="0" applyNumberFormat="1" applyFont="1" applyFill="1" applyBorder="1" applyAlignment="1">
      <x:alignment horizontal="right"/>
    </x:xf>
    <x:xf numFmtId="201" fontId="4" fillId="0" borderId="3" xfId="0" applyNumberFormat="1" applyFont="1" applyFill="1" applyBorder="1" applyAlignment="1">
      <x:alignment horizontal="right"/>
    </x:xf>
    <x:xf numFmtId="201" fontId="6" fillId="5" borderId="12" xfId="0" applyNumberFormat="1" applyFont="1" applyFill="1" applyBorder="1" applyAlignment="1">
      <x:alignment horizontal="right"/>
    </x:xf>
  </x:cellXfs>
  <x:cellStyles count="1">
    <x:cellStyle name="Normal" xfId="0"/>
  </x:cellStyles>
  <x:dxfs count="4">
    <x:dxf>
      <x:font>
        <x:b/>
        <x:color rgb="FF7F6000"/>
      </x:font>
      <x:fill>
        <x:patternFill patternType="solid">
          <x:bgColor rgb="FFFFF2CC"/>
        </x:patternFill>
      </x:fill>
    </x:dxf>
    <x:dxf>
      <x:font>
        <x:color rgb="FF9C0006"/>
      </x:font>
      <x:fill>
        <x:patternFill patternType="solid">
          <x:bgColor rgb="FFFCE4D6"/>
        </x:patternFill>
      </x:fill>
    </x:dxf>
    <x:dxf>
      <x:font>
        <x:color rgb="FF375623"/>
      </x:font>
      <x:fill>
        <x:patternFill patternType="solid">
          <x:bgColor rgb="FFE2F0D9"/>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ee050f35adc4d73" /><Relationship Type="http://schemas.openxmlformats.org/officeDocument/2006/relationships/theme" Target="/xl/theme/theme1.xml" Id="R1e342fca69e34dbd" /><Relationship Type="http://schemas.openxmlformats.org/officeDocument/2006/relationships/sharedStrings" Target="/xl/sharedStrings.xml" Id="Rbfe83b73fbf04f54" /><Relationship Type="http://schemas.openxmlformats.org/officeDocument/2006/relationships/worksheet" Target="/xl/worksheets/sheet1.xml" Id="R97e00638f7aa4db1" /><Relationship Type="http://schemas.openxmlformats.org/officeDocument/2006/relationships/worksheet" Target="/xl/worksheets/sheet2.xml" Id="R88960d22fd6e4c3c" /><Relationship Type="http://schemas.openxmlformats.org/officeDocument/2006/relationships/worksheet" Target="/xl/worksheets/sheet3.xml" Id="Re76fe62f8f844c40" /></Relationships>
</file>

<file path=xl/tables/table1.xml><?xml version="1.0" encoding="utf-8"?>
<x:table xmlns:x="http://schemas.openxmlformats.org/spreadsheetml/2006/main" id="1" name="ChangeRegisterTable" displayName="ChangeRegisterTable" ref="A6:H87" headerRowCount="1" totalsRowCount="0" totalsRowShown="0">
  <x:tableColumns count="8">
    <x:tableColumn id="1" name="ID"/>
    <x:tableColumn id="2" name="Category"/>
    <x:tableColumn id="3" name="Change / requested outcome"/>
    <x:tableColumn id="4" name="Status group"/>
    <x:tableColumn id="5" name="Latest disposition / boundary"/>
    <x:tableColumn id="6" name="Scope or commercial evidence"/>
    <x:tableColumn id="7" name="Transcript evidence"/>
    <x:tableColumn id="8" name="Explicit commercial discuss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4b8e0f20b7541d6" /></Relationships>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31" hidden="0" customWidth="1"/>
    <x:col min="2" max="2" width="12" hidden="0" customWidth="1"/>
    <x:col min="3" max="3" width="3" hidden="0" customWidth="1"/>
    <x:col min="4" max="4" width="24" hidden="0" customWidth="1"/>
    <x:col min="5" max="5" width="11" hidden="0" customWidth="1"/>
    <x:col min="6" max="6" width="14" hidden="0" customWidth="1"/>
    <x:col min="7" max="7" width="14" hidden="0" customWidth="1"/>
    <x:col min="8" max="8" width="14" hidden="0" customWidth="1"/>
  </x:cols>
  <x:sheetData>
    <x:row r="2">
      <x:c r="A2" s="2" t="str">
        <x:v>Terra-Gen Change Orders and Change Requests</x:v>
      </x:c>
      <x:c r="B2" s="2"/>
      <x:c r="C2" s="2"/>
      <x:c r="D2" s="2"/>
      <x:c r="E2" s="2"/>
      <x:c r="F2" s="2"/>
      <x:c r="G2" s="2"/>
      <x:c r="H2" s="2"/>
    </x:row>
    <x:row r="3">
      <x:c r="A3" s="3" t="str">
        <x:v>Transcript review through 2026-09-17 | Register prepared 2026-09-21</x:v>
      </x:c>
      <x:c r="B3" s="3"/>
      <x:c r="C3" s="3"/>
      <x:c r="D3" s="3"/>
      <x:c r="E3" s="3"/>
      <x:c r="F3" s="3"/>
      <x:c r="G3" s="3"/>
      <x:c r="H3" s="3"/>
    </x:row>
    <x:row r="4">
      <x:c r="A4" s="44"/>
      <x:c r="B4" s="44"/>
      <x:c r="C4" s="44"/>
      <x:c r="D4" s="44"/>
      <x:c r="E4" s="44"/>
      <x:c r="F4" s="44"/>
      <x:c r="G4" s="44"/>
      <x:c r="H4" s="44"/>
    </x:row>
    <x:row r="5">
      <x:c r="A5" s="45"/>
      <x:c r="B5" s="45"/>
      <x:c r="C5" s="45"/>
      <x:c r="D5" s="45"/>
      <x:c r="E5" s="45"/>
      <x:c r="F5" s="45"/>
      <x:c r="G5" s="45"/>
      <x:c r="H5" s="45"/>
    </x:row>
    <x:row r="6">
      <x:c r="A6" s="8" t="str">
        <x:v>Measure</x:v>
      </x:c>
      <x:c r="B6" s="8" t="str">
        <x:v>Count</x:v>
      </x:c>
      <x:c r="C6" s="45"/>
      <x:c r="D6" s="8" t="str">
        <x:v>Status</x:v>
      </x:c>
      <x:c r="E6" s="8" t="str">
        <x:v>Count</x:v>
      </x:c>
      <x:c r="F6" s="45"/>
      <x:c r="G6" s="45"/>
      <x:c r="H6" s="45"/>
    </x:row>
    <x:row r="7">
      <x:c r="A7" s="13" t="str">
        <x:v>All change discussions</x:v>
      </x:c>
      <x:c r="B7" s="22" t="n">
        <x:f>COUNTA('Change Register'!$A$7:$A$87)</x:f>
        <x:v>81</x:v>
      </x:c>
      <x:c r="C7" s="45"/>
      <x:c r="D7" s="13" t="str">
        <x:v>Accepted design</x:v>
      </x:c>
      <x:c r="E7" s="31" t="n">
        <x:f>COUNTIF('Change Register'!$D$7:$D$87,D7)</x:f>
        <x:v>14</x:v>
      </x:c>
      <x:c r="F7" s="45"/>
      <x:c r="G7" s="45"/>
      <x:c r="H7" s="45"/>
    </x:row>
    <x:row r="8">
      <x:c r="A8" s="14" t="str">
        <x:v>Explicit scope, cost or licensing</x:v>
      </x:c>
      <x:c r="B8" s="23" t="n">
        <x:f>COUNTIF('Change Register'!$H$7:$H$87,"Yes")</x:f>
        <x:v>12</x:v>
      </x:c>
      <x:c r="C8" s="45"/>
      <x:c r="D8" s="14" t="str">
        <x:v>Agreed in discussion</x:v>
      </x:c>
      <x:c r="E8" s="32" t="n">
        <x:f>COUNTIF('Change Register'!$D$7:$D$87,D8)</x:f>
        <x:v>12</x:v>
      </x:c>
      <x:c r="F8" s="45"/>
      <x:c r="G8" s="45"/>
      <x:c r="H8" s="45"/>
    </x:row>
    <x:row r="9">
      <x:c r="A9" s="14" t="str">
        <x:v>Unique meetings reviewed</x:v>
      </x:c>
      <x:c r="B9" s="23" t="n">
        <x:v>7</x:v>
      </x:c>
      <x:c r="C9" s="45"/>
      <x:c r="D9" s="14" t="str">
        <x:v>Proposed / open</x:v>
      </x:c>
      <x:c r="E9" s="32" t="n">
        <x:f>COUNTIF('Change Register'!$D$7:$D$87,D9)</x:f>
        <x:v>21</x:v>
      </x:c>
      <x:c r="F9" s="45"/>
      <x:c r="G9" s="45"/>
      <x:c r="H9" s="45"/>
    </x:row>
    <x:row r="10">
      <x:c r="A10" s="15" t="str">
        <x:v>Transcript files reviewed</x:v>
      </x:c>
      <x:c r="B10" s="24" t="n">
        <x:v>19</x:v>
      </x:c>
      <x:c r="C10" s="45"/>
      <x:c r="D10" s="14" t="str">
        <x:v>Discussed / future</x:v>
      </x:c>
      <x:c r="E10" s="32" t="n">
        <x:f>COUNTIF('Change Register'!$D$7:$D$87,D10)</x:f>
        <x:v>12</x:v>
      </x:c>
      <x:c r="F10" s="45"/>
      <x:c r="G10" s="45"/>
      <x:c r="H10" s="45"/>
    </x:row>
    <x:row r="11">
      <x:c r="A11" s="45"/>
      <x:c r="B11" s="45"/>
      <x:c r="C11" s="45"/>
      <x:c r="D11" s="14" t="str">
        <x:v>Declined / superseded</x:v>
      </x:c>
      <x:c r="E11" s="32" t="n">
        <x:f>COUNTIF('Change Register'!$D$7:$D$87,D11)</x:f>
        <x:v>17</x:v>
      </x:c>
      <x:c r="F11" s="45"/>
      <x:c r="G11" s="45"/>
      <x:c r="H11" s="45"/>
    </x:row>
    <x:row r="12">
      <x:c r="A12" s="45"/>
      <x:c r="B12" s="45"/>
      <x:c r="C12" s="45"/>
      <x:c r="D12" s="14" t="str">
        <x:v>Already scoped / standard</x:v>
      </x:c>
      <x:c r="E12" s="32" t="n">
        <x:f>COUNTIF('Change Register'!$D$7:$D$87,D12)</x:f>
        <x:v>5</x:v>
      </x:c>
      <x:c r="F12" s="45"/>
      <x:c r="G12" s="45"/>
      <x:c r="H12" s="45"/>
    </x:row>
    <x:row r="13">
      <x:c r="A13" s="45"/>
      <x:c r="B13" s="45"/>
      <x:c r="C13" s="45"/>
      <x:c r="D13" s="15" t="str">
        <x:v>Other / mixed</x:v>
      </x:c>
      <x:c r="E13" s="33" t="n">
        <x:f>COUNTIF('Change Register'!$D$7:$D$87,D13)</x:f>
        <x:v>0</x:v>
      </x:c>
      <x:c r="F13" s="45"/>
      <x:c r="G13" s="45"/>
      <x:c r="H13" s="45"/>
    </x:row>
    <x:row r="14">
      <x:c r="A14" s="45"/>
      <x:c r="B14" s="45"/>
      <x:c r="C14" s="45"/>
      <x:c r="D14" s="45"/>
      <x:c r="E14" s="45"/>
      <x:c r="F14" s="45"/>
      <x:c r="G14" s="45"/>
      <x:c r="H14" s="45"/>
    </x:row>
    <x:row r="15">
      <x:c r="A15" s="45"/>
      <x:c r="B15" s="45"/>
      <x:c r="C15" s="45"/>
      <x:c r="D15" s="45"/>
      <x:c r="E15" s="45"/>
      <x:c r="F15" s="45"/>
      <x:c r="G15" s="45"/>
      <x:c r="H15" s="45"/>
    </x:row>
    <x:row r="16">
      <x:c r="A16" s="36" t="str">
        <x:v>Commercial interpretation</x:v>
      </x:c>
      <x:c r="B16" s="36"/>
      <x:c r="C16" s="36"/>
      <x:c r="D16" s="36"/>
      <x:c r="E16" s="36"/>
      <x:c r="F16" s="36"/>
      <x:c r="G16" s="36"/>
      <x:c r="H16" s="36"/>
    </x:row>
    <x:row r="17" ht="32" customHeight="1">
      <x:c r="A17" s="38" t="str">
        <x:v>No formally authorized change order, signed change approval, or agreed change-order price was identified. Workshop agreement and accepted design status do not authorize additional charges. The twelve explicit commercial rows are candidates for contract and scope review.</x:v>
      </x:c>
      <x:c r="B17" s="38"/>
      <x:c r="C17" s="38"/>
      <x:c r="D17" s="38"/>
      <x:c r="E17" s="38"/>
      <x:c r="F17" s="38"/>
      <x:c r="G17" s="38"/>
      <x:c r="H17" s="38"/>
    </x:row>
    <x:row r="18" ht="32" customHeight="1">
      <x:c r="A18" s="38"/>
      <x:c r="B18" s="38"/>
      <x:c r="C18" s="38"/>
      <x:c r="D18" s="38"/>
      <x:c r="E18" s="38"/>
      <x:c r="F18" s="38"/>
      <x:c r="G18" s="38"/>
      <x:c r="H18" s="38"/>
    </x:row>
    <x:row r="19">
      <x:c r="A19" s="45"/>
      <x:c r="B19" s="45"/>
      <x:c r="C19" s="45"/>
      <x:c r="D19" s="45"/>
      <x:c r="E19" s="45"/>
      <x:c r="F19" s="45"/>
      <x:c r="G19" s="45"/>
      <x:c r="H19" s="45"/>
    </x:row>
    <x:row r="20">
      <x:c r="A20" s="45"/>
      <x:c r="B20" s="45"/>
      <x:c r="C20" s="45"/>
      <x:c r="D20" s="45"/>
      <x:c r="E20" s="45"/>
      <x:c r="F20" s="45"/>
      <x:c r="G20" s="45"/>
      <x:c r="H20" s="45"/>
    </x:row>
    <x:row r="21">
      <x:c r="A21" s="41" t="str">
        <x:v>Recommended first commercial review</x:v>
      </x:c>
      <x:c r="B21" s="41"/>
      <x:c r="C21" s="41"/>
      <x:c r="D21" s="41"/>
      <x:c r="E21" s="41"/>
      <x:c r="F21" s="41"/>
      <x:c r="G21" s="41"/>
      <x:c r="H21" s="41"/>
    </x:row>
    <x:row r="22" ht="34" customHeight="1">
      <x:c r="A22" s="43" t="str">
        <x:v>CR-001 / CR-002</x:v>
      </x:c>
      <x:c r="B22" s="38" t="str">
        <x:v>Digital qualification forms and employee offboarding reassignment are the clearest explicit additional-scope candidates.</x:v>
      </x:c>
      <x:c r="C22" s="38"/>
      <x:c r="D22" s="38"/>
      <x:c r="E22" s="38"/>
      <x:c r="F22" s="38"/>
      <x:c r="G22" s="38"/>
      <x:c r="H22" s="38"/>
    </x:row>
    <x:row r="23" ht="34" customHeight="1">
      <x:c r="A23" s="43" t="str">
        <x:v>CR-004–CR-006</x:v>
      </x:c>
      <x:c r="B23" s="38" t="str">
        <x:v>Define the included boundary for inspection targets, SPCC consolidation and equipment filtering before estimation.</x:v>
      </x:c>
      <x:c r="C23" s="38"/>
      <x:c r="D23" s="38"/>
      <x:c r="E23" s="38"/>
      <x:c r="F23" s="38"/>
      <x:c r="G23" s="38"/>
      <x:c r="H23" s="38"/>
    </x:row>
    <x:row r="24" ht="34" customHeight="1">
      <x:c r="A24" s="43" t="str">
        <x:v>CR-028–CR-031</x:v>
      </x:c>
      <x:c r="B24" s="38" t="str">
        <x:v>Reconcile qualification architecture, sequencing, renewal and validity rules against the contracted competency deliverable.</x:v>
      </x:c>
      <x:c r="C24" s="38"/>
      <x:c r="D24" s="38"/>
      <x:c r="E24" s="38"/>
      <x:c r="F24" s="38"/>
      <x:c r="G24" s="38"/>
      <x:c r="H24" s="38"/>
    </x:row>
    <x:row r="25" ht="34" customHeight="1">
      <x:c r="A25" s="43" t="str">
        <x:v>Enhancement group</x:v>
      </x:c>
      <x:c r="B25" s="38" t="str">
        <x:v>Confirm which integrations, reports and workflow changes fit the implementation allowance before treating them as chargeable.</x:v>
      </x:c>
      <x:c r="C25" s="38"/>
      <x:c r="D25" s="38"/>
      <x:c r="E25" s="38"/>
      <x:c r="F25" s="38"/>
      <x:c r="G25" s="38"/>
      <x:c r="H25" s="38"/>
    </x:row>
    <x:row r="26" ht="34" customHeight="1">
      <x:c r="A26" s="43" t="str">
        <x:v>Deferred group</x:v>
      </x:c>
      <x:c r="B26" s="38" t="str">
        <x:v>Retain declined and deferred items so they are not accidentally reinstated as current requirements.</x:v>
      </x:c>
      <x:c r="C26" s="38"/>
      <x:c r="D26" s="38"/>
      <x:c r="E26" s="38"/>
      <x:c r="F26" s="38"/>
      <x:c r="G26" s="38"/>
      <x:c r="H26" s="38"/>
    </x:row>
  </x:sheetData>
  <x:mergeCells>
    <x:mergeCell ref="A2:H2"/>
    <x:mergeCell ref="A3:H3"/>
    <x:mergeCell ref="A16:H16"/>
    <x:mergeCell ref="A17:H18"/>
    <x:mergeCell ref="A21:H21"/>
    <x:mergeCell ref="B22:H22"/>
    <x:mergeCell ref="B23:H23"/>
    <x:mergeCell ref="B24:H24"/>
    <x:mergeCell ref="B25:H25"/>
    <x:mergeCell ref="B26:H26"/>
  </x:mergeCells>
  <x:pageMargins left="0.7" right="0.7" top="0.75" bottom="0.75" header="0.3" footer="0.3"/>
</x:worksheet>
</file>

<file path=xl/worksheets/sheet2.xml><?xml version="1.0" encoding="utf-8"?>
<x:worksheet xmlns:x="http://schemas.openxmlformats.org/spreadsheetml/2006/main">
  <x:sheetPr>
    <x:tabColor rgb="FF4472C4"/>
  </x:sheetPr>
  <x:sheetViews>
    <x:sheetView showGridLines="0" workbookViewId="0">
      <x:pane xSplit="2" ySplit="6" topLeftCell="C7" activePane="bottomRight" state="frozen"/>
    </x:sheetView>
  </x:sheetViews>
  <x:sheetFormatPr defaultRowHeight="15"/>
  <x:cols>
    <x:col min="1" max="1" width="11" hidden="0" customWidth="1"/>
    <x:col min="2" max="2" width="27" hidden="0" customWidth="1"/>
    <x:col min="3" max="3" width="43" hidden="0" customWidth="1"/>
    <x:col min="4" max="4" width="23" hidden="0" customWidth="1"/>
    <x:col min="5" max="5" width="48" hidden="0" customWidth="1"/>
    <x:col min="6" max="6" width="48" hidden="0" customWidth="1"/>
    <x:col min="7" max="7" width="43" hidden="0" customWidth="1"/>
    <x:col min="8" max="8" width="18" hidden="0" customWidth="1"/>
  </x:cols>
  <x:sheetData>
    <x:row r="2">
      <x:c r="A2" s="1" t="str">
        <x:v>Change Order and Change Request Register</x:v>
      </x:c>
      <x:c r="B2" s="1"/>
      <x:c r="C2" s="1"/>
      <x:c r="D2" s="1"/>
      <x:c r="E2" s="1"/>
      <x:c r="F2" s="1"/>
      <x:c r="G2" s="1"/>
      <x:c r="H2" s="1"/>
    </x:row>
    <x:row r="3">
      <x:c r="A3" s="3" t="str">
        <x:v>Use filters to review category, status and explicit commercial candidates. CR identifiers are local register references, not customer-issued numbers.</x:v>
      </x:c>
      <x:c r="B3" s="3"/>
      <x:c r="C3" s="3"/>
      <x:c r="D3" s="3"/>
      <x:c r="E3" s="3"/>
      <x:c r="F3" s="3"/>
      <x:c r="G3" s="3"/>
      <x:c r="H3" s="3"/>
    </x:row>
    <x:row r="4">
      <x:c r="A4" s="4"/>
      <x:c r="B4" s="4"/>
      <x:c r="C4" s="4"/>
      <x:c r="D4" s="4"/>
      <x:c r="E4" s="4"/>
      <x:c r="F4" s="4"/>
      <x:c r="G4" s="4"/>
      <x:c r="H4" s="4"/>
    </x:row>
    <x:row r="6" ht="36" customHeight="1">
      <x:c r="A6" s="55" t="str">
        <x:v>ID</x:v>
      </x:c>
      <x:c r="B6" s="56" t="str">
        <x:v>Category</x:v>
      </x:c>
      <x:c r="C6" s="56" t="str">
        <x:v>Change / requested outcome</x:v>
      </x:c>
      <x:c r="D6" s="56" t="str">
        <x:v>Status group</x:v>
      </x:c>
      <x:c r="E6" s="56" t="str">
        <x:v>Latest disposition / boundary</x:v>
      </x:c>
      <x:c r="F6" s="56" t="str">
        <x:v>Scope or commercial evidence</x:v>
      </x:c>
      <x:c r="G6" s="56" t="str">
        <x:v>Transcript evidence</x:v>
      </x:c>
      <x:c r="H6" s="57" t="str">
        <x:v>Explicit commercial discussion</x:v>
      </x:c>
    </x:row>
    <x:row r="7" ht="66" customHeight="1">
      <x:c r="A7" s="68" t="str">
        <x:v>CR-001</x:v>
      </x:c>
      <x:c r="B7" s="65" t="str">
        <x:v>Commercial / scope candidates</x:v>
      </x:c>
      <x:c r="C7" s="65" t="str">
        <x:v>Digitize qualification assessment forms so assessors complete qualification-specific checklists on tablets, potentially offline, instead of uploading completed paper forms and recording completion.</x:v>
      </x:c>
      <x:c r="D7" s="71" t="str">
        <x:v>Discussed / future</x:v>
      </x:c>
      <x:c r="E7" s="65" t="str">
        <x:v>Discussed / deferred. Start with uploaded evidence; digital forms remain optional later scope.</x:v>
      </x:c>
      <x:c r="F7" s="65" t="str">
        <x:v>The statement of work was described as not including separate electronic forms for each qualification. Explicit wording: “we're likely looking at a change order.” No quote or approval. Distinct from the already-scoped qualification framework.</x:v>
      </x:c>
      <x:c r="G7" s="65" t="str">
        <x:v>T4, lines 870–892, 2:44:39–2:48:22; explicit CO at line 883, 2:47:09. Current context: Training ADR-006.</x:v>
      </x:c>
      <x:c r="H7" s="74" t="str">
        <x:v>Yes</x:v>
      </x:c>
    </x:row>
    <x:row r="8" ht="66" customHeight="1">
      <x:c r="A8" s="69" t="str">
        <x:v>CR-002</x:v>
      </x:c>
      <x:c r="B8" s="66" t="str">
        <x:v>Commercial / scope candidates</x:v>
      </x:c>
      <x:c r="C8" s="66" t="str">
        <x:v>Employee offboarding reassignment package: identify an inactive employee's open tasks and operational roles; route work to a supervisor or administrator to nominate replacements.</x:v>
      </x:c>
      <x:c r="D8" s="72" t="str">
        <x:v>Proposed / open</x:v>
      </x:c>
      <x:c r="E8" s="66" t="str">
        <x:v>Proposed / open. Interest expressed (“probably want”); purchase not authorized.</x:v>
      </x:c>
      <x:c r="F8" s="66" t="str">
        <x:v>Explicitly described as outside the current scope and sold as a separate, fixed-price line item using an existing solution. No amount stated.</x:v>
      </x:c>
      <x:c r="G8" s="66" t="str">
        <x:v>T5, lines 319–326, 1:02:51–1:04:29; lines 393–402, 1:17:17–1:18:48.</x:v>
      </x:c>
      <x:c r="H8" s="75" t="str">
        <x:v>Yes</x:v>
      </x:c>
    </x:row>
    <x:row r="9" ht="66" customHeight="1">
      <x:c r="A9" s="69" t="str">
        <x:v>CR-003</x:v>
      </x:c>
      <x:c r="B9" s="66" t="str">
        <x:v>Commercial / scope candidates</x:v>
      </x:c>
      <x:c r="C9" s="66" t="str">
        <x:v>Initial training grace period: delay new-hire course due dates, potentially by course and hire date, so pre-start assignments are not immediately overdue.</x:v>
      </x:c>
      <x:c r="D9" s="72" t="str">
        <x:v>Declined / superseded</x:v>
      </x:c>
      <x:c r="E9" s="66" t="str">
        <x:v>Declined. Existing overdue behavior accepted instead of paying for an enhancement.</x:v>
      </x:c>
      <x:c r="F9" s="66" t="str">
        <x:v>Additional logic and expenditure were discussed. No recurring-course grace period should be inferred from this request. A garbled sentence at line 243 is reconciled against the surrounding agreement and later accepted Training ADR-001.</x:v>
      </x:c>
      <x:c r="G9" s="66" t="str">
        <x:v>T4, lines 987–990, 3:06:12–3:06:35; T5, lines 197–246, 0:38:17–0:47:46, and 262–265, 0:50:44–0:51:25.</x:v>
      </x:c>
      <x:c r="H9" s="75" t="str">
        <x:v>Yes</x:v>
      </x:c>
    </x:row>
    <x:row r="10" ht="66" customHeight="1">
      <x:c r="A10" s="69" t="str">
        <x:v>CR-004</x:v>
      </x:c>
      <x:c r="B10" s="66" t="str">
        <x:v>Commercial / scope candidates</x:v>
      </x:c>
      <x:c r="C10" s="66" t="str">
        <x:v>Inspection frequency / target tracking: configure required inspections per program and site, reconcile completions, show missing inspections, and send at-risk reminders.</x:v>
      </x:c>
      <x:c r="D10" s="72" t="str">
        <x:v>Proposed / open</x:v>
      </x:c>
      <x:c r="E10" s="66" t="str">
        <x:v>Proposed / open; budget-dependent. Inspections ADR-008 remains proposed.</x:v>
      </x:c>
      <x:c r="F10" s="66" t="str">
        <x:v>Described as functionality that does not exist in the demonstrated product. A simpler report was offered if the fuller solution consumed too much budget. Reporting only existing records would miss sites with no inspection records.</x:v>
      </x:c>
      <x:c r="G10" s="66" t="str">
        <x:v>T1, 23:19–27:06; T6, lines 177–228, 0:36:39–0:46:21, especially 213–215; lines 344–354, 1:12:30–1:14:16.</x:v>
      </x:c>
      <x:c r="H10" s="75" t="str">
        <x:v>Yes</x:v>
      </x:c>
    </x:row>
    <x:row r="11" ht="66" customHeight="1">
      <x:c r="A11" s="69" t="str">
        <x:v>CR-005</x:v>
      </x:c>
      <x:c r="B11" s="66" t="str">
        <x:v>Commercial / scope candidates</x:v>
      </x:c>
      <x:c r="C11" s="66" t="str">
        <x:v>SPCC plan-level inspection consolidation: combine individual site/resource inspections into one output, retaining underlying responses, comments and actions and potentially using the least favorable answer.</x:v>
      </x:c>
      <x:c r="D11" s="72" t="str">
        <x:v>Proposed / open</x:v>
      </x:c>
      <x:c r="E11" s="66" t="str">
        <x:v>Discussed / future, low priority. Inspections ADR-016 remains proposed.</x:v>
      </x:c>
      <x:c r="F11" s="66" t="str">
        <x:v>SPCC was explicitly outside current project scope; the combined reporting layer was also described as not in scope and still needing scoping. An alternative single inspection linked to multiple sites was discussed as substantially more work and was not selected as the common model.</x:v>
      </x:c>
      <x:c r="G11" s="66" t="str">
        <x:v>T6, lines 509–525, 1:49:44–1:53:58; 555–600, 2:00:24–2:11:54; 612–623, 2:14:25–2:17:14.</x:v>
      </x:c>
      <x:c r="H11" s="75" t="str">
        <x:v>Yes</x:v>
      </x:c>
    </x:row>
    <x:row r="12" ht="66" customHeight="1">
      <x:c r="A12" s="69" t="str">
        <x:v>CR-006</x:v>
      </x:c>
      <x:c r="B12" s="66" t="str">
        <x:v>Commercial / scope candidates</x:v>
      </x:c>
      <x:c r="C12" s="66" t="str">
        <x:v>Filter equipment choices by inspection type or asset category, rather than merely showing or hiding the entire equipment list.</x:v>
      </x:c>
      <x:c r="D12" s="72" t="str">
        <x:v>Discussed / future</x:v>
      </x:c>
      <x:c r="E12" s="66" t="str">
        <x:v>Discussed / future. Dependent on equipment taxonomy and actual programs.</x:v>
      </x:c>
      <x:c r="F12" s="66" t="str">
        <x:v>Dynamic filtering was described as something that could be added; the conversation explicitly questioned its inclusion in scope. No approval or estimate.</x:v>
      </x:c>
      <x:c r="G12" s="66" t="str">
        <x:v>T6, lines 321–337, 1:08:31–1:11:16.</x:v>
      </x:c>
      <x:c r="H12" s="75" t="str">
        <x:v>Yes</x:v>
      </x:c>
    </x:row>
    <x:row r="13" ht="66" customHeight="1">
      <x:c r="A13" s="69" t="str">
        <x:v>CR-007</x:v>
      </x:c>
      <x:c r="B13" s="66" t="str">
        <x:v>Commercial / scope candidates</x:v>
      </x:c>
      <x:c r="C13" s="66" t="str">
        <x:v>Automatically substitute document approvers / role holders during leave, rather than an administrator replacing role membership.</x:v>
      </x:c>
      <x:c r="D13" s="72" t="str">
        <x:v>Declined / superseded</x:v>
      </x:c>
      <x:c r="E13" s="66" t="str">
        <x:v>Declined / not selected. Manual role maintenance is the accepted direction in Platform ADR-005.</x:v>
      </x:c>
      <x:c r="F13" s="66" t="str">
        <x:v>“Spend 10 grand automating it” was an illustrative expenditure comment, not an agreed quotation; currency was not stated. The small population was cited as a reason not to spend the money. Separate from termination reassignment in CR-002.</x:v>
      </x:c>
      <x:c r="G13" s="66" t="str">
        <x:v>T7, lines 564–579, 2:01:19–2:04:06.</x:v>
      </x:c>
      <x:c r="H13" s="75" t="str">
        <x:v>Yes</x:v>
      </x:c>
    </x:row>
    <x:row r="14" ht="66" customHeight="1">
      <x:c r="A14" s="69" t="str">
        <x:v>CR-008</x:v>
      </x:c>
      <x:c r="B14" s="66" t="str">
        <x:v>Commercial / scope candidates</x:v>
      </x:c>
      <x:c r="C14" s="66" t="str">
        <x:v>Quiz Builder licensing to create assessments for internally authored training.</x:v>
      </x:c>
      <x:c r="D14" s="72" t="str">
        <x:v>Discussed / future</x:v>
      </x:c>
      <x:c r="E14" s="66" t="str">
        <x:v>Discussed; apparent existing entitlement. Early uncertainty was followed by a statement that Quiz Builder is owned. Do not treat this as an approved new purchase.</x:v>
      </x:c>
      <x:c r="F14" s="66" t="str">
        <x:v>A separate product license was identified and checking ownership was proposed. The later statement resolves the discussion provisionally, but is not documentary license verification.</x:v>
      </x:c>
      <x:c r="G14" s="66" t="str">
        <x:v>T4, lines 360–370, 1:01:17–1:02:55; line 593, 1:45:56.</x:v>
      </x:c>
      <x:c r="H14" s="75" t="str">
        <x:v>Yes</x:v>
      </x:c>
    </x:row>
    <x:row r="15" ht="66" customHeight="1">
      <x:c r="A15" s="69" t="str">
        <x:v>CR-009</x:v>
      </x:c>
      <x:c r="B15" s="66" t="str">
        <x:v>Commercial / scope candidates</x:v>
      </x:c>
      <x:c r="C15" s="66" t="str">
        <x:v>SCORM authoring tools and conversion of internal videos / PowerPoints into trackable packages, potentially including quizzes; AI-authored video was another suggested content option.</x:v>
      </x:c>
      <x:c r="D15" s="72" t="str">
        <x:v>Proposed / open</x:v>
      </x:c>
      <x:c r="E15" s="66" t="str">
        <x:v>Proposed / open. Tool selection, authoring responsibility and content effort remain to be established.</x:v>
      </x:c>
      <x:c r="F15" s="66" t="str">
        <x:v>Authoring-tool costs were discussed, including an iSpring example of “twelve hundred bucks” per year per author. This is a historical discussion, not verified current pricing or an agreed Summit change order.</x:v>
      </x:c>
      <x:c r="G15" s="66" t="str">
        <x:v>T4, lines 254–265, 0:42:11–0:44:02; 752–768, 2:17:13–2:21:13; T7, lines 19–35.</x:v>
      </x:c>
      <x:c r="H15" s="75" t="str">
        <x:v>Yes</x:v>
      </x:c>
    </x:row>
    <x:row r="16" ht="66" customHeight="1">
      <x:c r="A16" s="69" t="str">
        <x:v>CR-010</x:v>
      </x:c>
      <x:c r="B16" s="66" t="str">
        <x:v>Commercial / scope candidates</x:v>
      </x:c>
      <x:c r="C16" s="66" t="str">
        <x:v>Dedicated SDS application / third-party SDS connection, instead of storing SDS sheets as controlled documents.</x:v>
      </x:c>
      <x:c r="D16" s="72" t="str">
        <x:v>Discussed / future</x:v>
      </x:c>
      <x:c r="E16" s="66" t="str">
        <x:v>Discussed; excluded from current scope. No decision to add the application.</x:v>
      </x:c>
      <x:c r="F16" s="66" t="str">
        <x:v>Workshop explicitly states there is no SDS app in the scope of Phases 1, 2 or 3. The supported interim approach is document storage. The transcript does not establish an approved third-party integration.</x:v>
      </x:c>
      <x:c r="G16" s="66" t="str">
        <x:v>T7, lines 105–113, 0:17:57–0:19:18.</x:v>
      </x:c>
      <x:c r="H16" s="75" t="str">
        <x:v>Yes</x:v>
      </x:c>
    </x:row>
    <x:row r="17" ht="66" customHeight="1">
      <x:c r="A17" s="69" t="str">
        <x:v>CR-011</x:v>
      </x:c>
      <x:c r="B17" s="66" t="str">
        <x:v>Commercial / scope candidates</x:v>
      </x:c>
      <x:c r="C17" s="66" t="str">
        <x:v>Separate corrective-action / investigation application for inspection discoveries, including near misses.</x:v>
      </x:c>
      <x:c r="D17" s="72" t="str">
        <x:v>Declined / superseded</x:v>
      </x:c>
      <x:c r="E17" s="66" t="str">
        <x:v>Discussed; not adopted. Route qualifying events to Incident Management, while retaining inspection evidence and ordinary action plans.</x:v>
      </x:c>
      <x:c r="F17" s="66" t="str">
        <x:v>The separate application was described as not in scope. This does not mean the inspection action-plan capability is out of scope.</x:v>
      </x:c>
      <x:c r="G17" s="66" t="str">
        <x:v>T5, lines 722–728, 2:23:31–2:24:47. Inspections ADR-014 is accepted.</x:v>
      </x:c>
      <x:c r="H17" s="75" t="str">
        <x:v>Yes</x:v>
      </x:c>
    </x:row>
    <x:row r="18" ht="66" customHeight="1">
      <x:c r="A18" s="69" t="str">
        <x:v>CR-012</x:v>
      </x:c>
      <x:c r="B18" s="66" t="str">
        <x:v>Commercial / scope candidates</x:v>
      </x:c>
      <x:c r="C18" s="66" t="str">
        <x:v>Additional full-access report-author licenses, allowing more users to build reports rather than request them from central administrators.</x:v>
      </x:c>
      <x:c r="D18" s="72" t="str">
        <x:v>Agreed in discussion</x:v>
      </x:c>
      <x:c r="E18" s="66" t="str">
        <x:v>Discussed / optional. No additional license purchase agreed.</x:v>
      </x:c>
      <x:c r="F18" s="66" t="str">
        <x:v>The discussion cites twelve existing full-access licenses and the expense of adding more. Centrally authored, shared reports were the practical alternative.</x:v>
      </x:c>
      <x:c r="G18" s="66" t="str">
        <x:v>T7, lines 737–745, 2:35:34–2:36:57.</x:v>
      </x:c>
      <x:c r="H18" s="75" t="str">
        <x:v>Yes</x:v>
      </x:c>
    </x:row>
    <x:row r="19" ht="66" customHeight="1">
      <x:c r="A19" s="69" t="str">
        <x:v>CR-013</x:v>
      </x:c>
      <x:c r="B19" s="66" t="str">
        <x:v>Training and qualification</x:v>
      </x:c>
      <x:c r="C19" s="66" t="str">
        <x:v>Calendar-driven monthly pushes of self-service training, recreating the current monthly LMS program.</x:v>
      </x:c>
      <x:c r="D19" s="72" t="str">
        <x:v>Declined / superseded</x:v>
      </x:c>
      <x:c r="E19" s="66" t="str">
        <x:v>Superseded. A custom session-like scheduling model was explored, then individual completion-based recurrence was selected for self-service courses. Training ADR-002 is accepted.</x:v>
      </x:c>
      <x:c r="F19" s="66" t="str"/>
      <x:c r="G19" s="66" t="str">
        <x:v>T2, lines 53–103, 0:04:56–0:13:14; T4, lines 147–190, 0:21:54–0:30:05, and 423–454, 1:13:09–1:19:01.</x:v>
      </x:c>
      <x:c r="H19" s="75" t="str">
        <x:v>No</x:v>
      </x:c>
    </x:row>
    <x:row r="20" ht="66" customHeight="1">
      <x:c r="A20" s="69" t="str">
        <x:v>CR-014</x:v>
      </x:c>
      <x:c r="B20" s="66" t="str">
        <x:v>Training and qualification</x:v>
      </x:c>
      <x:c r="C20" s="66" t="str">
        <x:v>Calendar-end expiry or a recurring-training grace period, rather than a strict elapsed interval from completion.</x:v>
      </x:c>
      <x:c r="D20" s="72" t="str">
        <x:v>Declined / superseded</x:v>
      </x:c>
      <x:c r="E20" s="66" t="str">
        <x:v>Declined for the H&amp;S recurrence model. Retain course-specific intervals; do not assume a general annual extension. Other course-specific policy exceptions require validation.</x:v>
      </x:c>
      <x:c r="F20" s="66" t="str"/>
      <x:c r="G20" s="66" t="str">
        <x:v>T4, lines 197–210, 0:31:10–0:34:01, and 423–454, 1:13:09–1:19:01.</x:v>
      </x:c>
      <x:c r="H20" s="75" t="str">
        <x:v>No</x:v>
      </x:c>
    </x:row>
    <x:row r="21" ht="66" customHeight="1">
      <x:c r="A21" s="69" t="str">
        <x:v>CR-015</x:v>
      </x:c>
      <x:c r="B21" s="66" t="str">
        <x:v>Training and qualification</x:v>
      </x:c>
      <x:c r="C21" s="66" t="str">
        <x:v>Restrict recurring training availability to roughly 30–45 days before it is due, preventing users from completing the next cycle immediately.</x:v>
      </x:c>
      <x:c r="D21" s="72" t="str">
        <x:v>Agreed in discussion</x:v>
      </x:c>
      <x:c r="E21" s="66" t="str">
        <x:v>Proposed / open. Described as an addable enhancement; precise activation window and final rules were not agreed.</x:v>
      </x:c>
      <x:c r="F21" s="66" t="str"/>
      <x:c r="G21" s="66" t="str">
        <x:v>T4, lines 463–466, 1:20:21–1:20:46; 568–571, 1:41:04–1:41:31. Training ADR-002 records the unresolved window.</x:v>
      </x:c>
      <x:c r="H21" s="75" t="str">
        <x:v>No</x:v>
      </x:c>
    </x:row>
    <x:row r="22" ht="66" customHeight="1">
      <x:c r="A22" s="69" t="str">
        <x:v>CR-016</x:v>
      </x:c>
      <x:c r="B22" s="66" t="str">
        <x:v>Training and qualification</x:v>
      </x:c>
      <x:c r="C22" s="66" t="str">
        <x:v>Map employee job/position codes to reusable training workgroups, automatically applying and reassessing training on hire or code change.</x:v>
      </x:c>
      <x:c r="D22" s="72" t="str">
        <x:v>Accepted design</x:v>
      </x:c>
      <x:c r="E22" s="66" t="str">
        <x:v>Accepted training direction; integration validation open. The workshop says “job codes”; current Training ADR-001 and Employee ADR-001 distinguish Paylocity position codes from prevailing-wage job codes. This is added mapping logic, not proof of a billable CO.</x:v>
      </x:c>
      <x:c r="F22" s="66" t="str"/>
      <x:c r="G22" s="66" t="str">
        <x:v>T3, lines 724–785, 2:21:32–2:33:13; T4, lines 794–815, 2:27:46–2:32:00.</x:v>
      </x:c>
      <x:c r="H22" s="75" t="str">
        <x:v>No</x:v>
      </x:c>
    </x:row>
    <x:row r="23" ht="66" customHeight="1">
      <x:c r="A23" s="69" t="str">
        <x:v>CR-017</x:v>
      </x:c>
      <x:c r="B23" s="66" t="str">
        <x:v>Training and qualification</x:v>
      </x:c>
      <x:c r="C23" s="66" t="str">
        <x:v>Notify administrators about new / unmapped employee codes, maintain profile mappings and prevent arbitrary default training assignments.</x:v>
      </x:c>
      <x:c r="D23" s="72" t="str">
        <x:v>Proposed / open</x:v>
      </x:c>
      <x:c r="E23" s="66" t="str">
        <x:v>Proposed / open in Employee ADR-001; dependent on a stable source code. Includes reconsidering assignments when an employee changes code.</x:v>
      </x:c>
      <x:c r="F23" s="66" t="str"/>
      <x:c r="G23" s="66" t="str">
        <x:v>T5, lines 123–141, approximately 0:23:40–0:28:00; T3, lines 781–784.</x:v>
      </x:c>
      <x:c r="H23" s="75" t="str">
        <x:v>No</x:v>
      </x:c>
    </x:row>
    <x:row r="24" ht="66" customHeight="1">
      <x:c r="A24" s="69" t="str">
        <x:v>CR-018</x:v>
      </x:c>
      <x:c r="B24" s="66" t="str">
        <x:v>Training and qualification</x:v>
      </x:c>
      <x:c r="C24" s="66" t="str">
        <x:v>Reuse an existing Marcom content-library / loading UI, so course content is easier to select and import.</x:v>
      </x:c>
      <x:c r="D24" s="72" t="str">
        <x:v>Proposed / open</x:v>
      </x:c>
      <x:c r="E24" s="66" t="str">
        <x:v>Proposed / investigate. Existing package offered for review or development use; production adoption not committed.</x:v>
      </x:c>
      <x:c r="F24" s="66" t="str"/>
      <x:c r="G24" s="66" t="str">
        <x:v>T2, 0:54:59–0:59:33; T4, lines 393–415, 1:07:17–1:11:38. Training ADR-011.</x:v>
      </x:c>
      <x:c r="H24" s="75" t="str">
        <x:v>No</x:v>
      </x:c>
    </x:row>
    <x:row r="25" ht="66" customHeight="1">
      <x:c r="A25" s="69" t="str">
        <x:v>CR-019</x:v>
      </x:c>
      <x:c r="B25" s="66" t="str">
        <x:v>Training and qualification</x:v>
      </x:c>
      <x:c r="C25" s="66" t="str">
        <x:v>Ongoing Marcom content refresh, ideally with automated or partly automated updates instead of a one-time import.</x:v>
      </x:c>
      <x:c r="D25" s="72" t="str">
        <x:v>Accepted design</x:v>
      </x:c>
      <x:c r="E25" s="66" t="str">
        <x:v>Accepted maintenance outcome; mechanism open. No commitment to a fully automatic vendor integration. Separate from the optional library UI in CR-018.</x:v>
      </x:c>
      <x:c r="F25" s="66" t="str"/>
      <x:c r="G25" s="66" t="str">
        <x:v>T2, 0:54:59–0:59:33; T4, lines 393–415, 1:07:17–1:11:38. Training ADR-011 is accepted.</x:v>
      </x:c>
      <x:c r="H25" s="75" t="str">
        <x:v>No</x:v>
      </x:c>
    </x:row>
    <x:row r="26" ht="66" customHeight="1">
      <x:c r="A26" s="69" t="str">
        <x:v>CR-020</x:v>
      </x:c>
      <x:c r="B26" s="66" t="str">
        <x:v>Training and qualification</x:v>
      </x:c>
      <x:c r="C26" s="66" t="str">
        <x:v>Adaptive learning / pre-tests that skip already-known material, said to have been represented during the sales process.</x:v>
      </x:c>
      <x:c r="D26" s="72" t="str">
        <x:v>Proposed / open</x:v>
      </x:c>
      <x:c r="E26" s="66" t="str">
        <x:v>Proposed / verify package capability and sales expectation. Not a commitment to build an adaptive engine in Intelex.</x:v>
      </x:c>
      <x:c r="F26" s="66" t="str"/>
      <x:c r="G26" s="66" t="str">
        <x:v>T4, lines 373–382, 1:03:26–1:05:12; 729–733.</x:v>
      </x:c>
      <x:c r="H26" s="75" t="str">
        <x:v>No</x:v>
      </x:c>
    </x:row>
    <x:row r="27" ht="66" customHeight="1">
      <x:c r="A27" s="69" t="str">
        <x:v>CR-021</x:v>
      </x:c>
      <x:c r="B27" s="66" t="str">
        <x:v>Training and qualification</x:v>
      </x:c>
      <x:c r="C27" s="66" t="str">
        <x:v>Verify training engagement / time spent, rather than accepting a completion click after opening a video.</x:v>
      </x:c>
      <x:c r="D27" s="72" t="str">
        <x:v>Proposed / open</x:v>
      </x:c>
      <x:c r="E27" s="66" t="str">
        <x:v>Proposed / capability validation. SCORM completion controls were discussed as a solution; the conversation does not confirm a specific duration report or minimum-time enforcement rule.</x:v>
      </x:c>
      <x:c r="F27" s="66" t="str"/>
      <x:c r="G27" s="66" t="str">
        <x:v>T4, lines 286–297, 0:47:54–approximately 0:50:30.</x:v>
      </x:c>
      <x:c r="H27" s="75" t="str">
        <x:v>No</x:v>
      </x:c>
    </x:row>
    <x:row r="28" ht="66" customHeight="1">
      <x:c r="A28" s="69" t="str">
        <x:v>CR-022</x:v>
      </x:c>
      <x:c r="B28" s="66" t="str">
        <x:v>Training and qualification</x:v>
      </x:c>
      <x:c r="C28" s="66" t="str">
        <x:v>Export training-session attendee email addresses for use in Teams invitations.</x:v>
      </x:c>
      <x:c r="D28" s="72" t="str">
        <x:v>Proposed / open</x:v>
      </x:c>
      <x:c r="E28" s="66" t="str">
        <x:v>Proposed reporting workaround. Build or use an attendee report/export; no native Teams integration promised.</x:v>
      </x:c>
      <x:c r="F28" s="66" t="str"/>
      <x:c r="G28" s="66" t="str">
        <x:v>T4, lines 329–339, 0:55:52–0:57:35.</x:v>
      </x:c>
      <x:c r="H28" s="75" t="str">
        <x:v>No</x:v>
      </x:c>
    </x:row>
    <x:row r="29" ht="66" customHeight="1">
      <x:c r="A29" s="69" t="str">
        <x:v>CR-023</x:v>
      </x:c>
      <x:c r="B29" s="66" t="str">
        <x:v>Training and qualification</x:v>
      </x:c>
      <x:c r="C29" s="66" t="str">
        <x:v>Import Teams attendance CSVs to record course completion automatically.</x:v>
      </x:c>
      <x:c r="D29" s="72" t="str">
        <x:v>Declined / superseded</x:v>
      </x:c>
      <x:c r="E29" s="66" t="str">
        <x:v>Discussed; not selected as routine user operation. Bulk completion with manual exceptions was favored; general-purpose imports were discouraged for nonadministrators.</x:v>
      </x:c>
      <x:c r="F29" s="66" t="str"/>
      <x:c r="G29" s="66" t="str">
        <x:v>T4, lines 339–352, 0:57:35–0:59:47.</x:v>
      </x:c>
      <x:c r="H29" s="75" t="str">
        <x:v>No</x:v>
      </x:c>
    </x:row>
    <x:row r="30" ht="66" customHeight="1">
      <x:c r="A30" s="69" t="str">
        <x:v>CR-024</x:v>
      </x:c>
      <x:c r="B30" s="66" t="str">
        <x:v>Training and qualification</x:v>
      </x:c>
      <x:c r="C30" s="66" t="str">
        <x:v>Calendar / ICS invitations from training-session notifications.</x:v>
      </x:c>
      <x:c r="D30" s="72" t="str">
        <x:v>Proposed / open</x:v>
      </x:c>
      <x:c r="E30" s="66" t="str">
        <x:v>Proposed / open. Explicitly left as an issue to investigate. Distinct from exporting email addresses.</x:v>
      </x:c>
      <x:c r="F30" s="66" t="str"/>
      <x:c r="G30" s="66" t="str">
        <x:v>T4, lines 353–359, 0:59:57–1:00:58.</x:v>
      </x:c>
      <x:c r="H30" s="75" t="str">
        <x:v>No</x:v>
      </x:c>
    </x:row>
    <x:row r="31" ht="66" customHeight="1">
      <x:c r="A31" s="69" t="str">
        <x:v>CR-025</x:v>
      </x:c>
      <x:c r="B31" s="66" t="str">
        <x:v>Training and qualification</x:v>
      </x:c>
      <x:c r="C31" s="66" t="str">
        <x:v>Multiple SCORM packages, or SCORM plus a separate quiz, inside one course, with sequencing or prerequisites.</x:v>
      </x:c>
      <x:c r="D31" s="72" t="str">
        <x:v>Agreed in discussion</x:v>
      </x:c>
      <x:c r="E31" s="66" t="str">
        <x:v>Discussed; separate-course workaround selected. Do not assume a composite-course enhancement was agreed. Qualification sequencing is recorded separately in CR-029.</x:v>
      </x:c>
      <x:c r="F31" s="66" t="str"/>
      <x:c r="G31" s="66" t="str">
        <x:v>T4, lines 575–593, 1:42:14–1:45:56; 738–739, 2:14:28–2:14:43.</x:v>
      </x:c>
      <x:c r="H31" s="75" t="str">
        <x:v>No</x:v>
      </x:c>
    </x:row>
    <x:row r="32" ht="66" customHeight="1">
      <x:c r="A32" s="69" t="str">
        <x:v>CR-026</x:v>
      </x:c>
      <x:c r="B32" s="66" t="str">
        <x:v>Training and qualification</x:v>
      </x:c>
      <x:c r="C32" s="66" t="str">
        <x:v>Bind training completion to the exact document / content version; automatically create course versions on document release.</x:v>
      </x:c>
      <x:c r="D32" s="72" t="str">
        <x:v>Declined / superseded</x:v>
      </x:c>
      <x:c r="E32" s="66" t="str">
        <x:v>Audit outcome required; automation not selected. Current Training ADR-013 is proposed and favors deliberate course/content review. Automatic version creation and completion-time document snapshots were explored; exact historical binding remains a design issue.</x:v>
      </x:c>
      <x:c r="F32" s="66" t="str"/>
      <x:c r="G32" s="66" t="str">
        <x:v>T4, lines 601–629, 1:47:27–1:53:45; T7, lines 465–483, 1:42:49–1:46:00.</x:v>
      </x:c>
      <x:c r="H32" s="75" t="str">
        <x:v>No</x:v>
      </x:c>
    </x:row>
    <x:row r="33" ht="66" customHeight="1">
      <x:c r="A33" s="69" t="str">
        <x:v>CR-027</x:v>
      </x:c>
      <x:c r="B33" s="66" t="str">
        <x:v>Training and qualification</x:v>
      </x:c>
      <x:c r="C33" s="66" t="str">
        <x:v>Pause or suppress leave-of-absence training and expose richer HR status, while protecting leave information in dashboards.</x:v>
      </x:c>
      <x:c r="D33" s="72" t="str">
        <x:v>Proposed / open</x:v>
      </x:c>
      <x:c r="E33" s="66" t="str">
        <x:v>Proposed / open. A simple universal pause was not established. Direction is to preserve history, use HR status and audience-specific report filters, and define reactivation behavior. Training ADR-014 remains proposed.</x:v>
      </x:c>
      <x:c r="F33" s="66" t="str"/>
      <x:c r="G33" s="66" t="str">
        <x:v>T4, lines 679–727, 2:04:28–2:12:46.</x:v>
      </x:c>
      <x:c r="H33" s="75" t="str">
        <x:v>No</x:v>
      </x:c>
    </x:row>
    <x:row r="34" ht="66" customHeight="1">
      <x:c r="A34" s="69" t="str">
        <x:v>CR-028</x:v>
      </x:c>
      <x:c r="B34" s="66" t="str">
        <x:v>Training and qualification</x:v>
      </x:c>
      <x:c r="C34" s="66" t="str">
        <x:v>Change competency architecture from direct derivation from training records to a standalone qualification workflow that also accepts external instruction, practicals and evidence.</x:v>
      </x:c>
      <x:c r="D34" s="72" t="str">
        <x:v>Already scoped / standard</x:v>
      </x:c>
      <x:c r="E34" s="66" t="str">
        <x:v>Accepted current design in Training ADR-006. The transcript explicitly reconsiders the connection to Training Management; the qualification add-on itself was already scoped. Contractual impact of the architecture revision is not determined.</x:v>
      </x:c>
      <x:c r="F34" s="66" t="str"/>
      <x:c r="G34" s="66" t="str">
        <x:v>T4, lines 790–791, 2:26:57 onward; 959–986, 3:01:22–3:06:10.</x:v>
      </x:c>
      <x:c r="H34" s="75" t="str">
        <x:v>No</x:v>
      </x:c>
    </x:row>
    <x:row r="35" ht="66" customHeight="1">
      <x:c r="A35" s="69" t="str">
        <x:v>CR-029</x:v>
      </x:c>
      <x:c r="B35" s="66" t="str">
        <x:v>Training and qualification</x:v>
      </x:c>
      <x:c r="C35" s="66" t="str">
        <x:v>Sequence qualification activities and prerequisites, with tasks or sign-offs for instruction, ground tests and field assessments.</x:v>
      </x:c>
      <x:c r="D35" s="72" t="str">
        <x:v>Accepted design</x:v>
      </x:c>
      <x:c r="E35" s="66" t="str">
        <x:v>Accepted framework; qualification-specific rules need definition. Current Training ADR-006 permits dependencies. Do not equate this with digitizing each underlying assessment form (CR-001).</x:v>
      </x:c>
      <x:c r="F35" s="66" t="str"/>
      <x:c r="G35" s="66" t="str">
        <x:v>T4, lines 938–998, 2:57:15–3:07:57; 1093–1095, 3:25:35–3:25:52.</x:v>
      </x:c>
      <x:c r="H35" s="75" t="str">
        <x:v>No</x:v>
      </x:c>
    </x:row>
    <x:row r="36" ht="66" customHeight="1">
      <x:c r="A36" s="69" t="str">
        <x:v>CR-030</x:v>
      </x:c>
      <x:c r="B36" s="66" t="str">
        <x:v>Training and qualification</x:v>
      </x:c>
      <x:c r="C36" s="66" t="str">
        <x:v>Use different initial-certification and renewal requirement sets, rather than repeating the initial sequence in every cycle.</x:v>
      </x:c>
      <x:c r="D36" s="72" t="str">
        <x:v>Proposed / open</x:v>
      </x:c>
      <x:c r="E36" s="66" t="str">
        <x:v>Proposed / open. Further competency discussion was scheduled; no later competency transcript is present. Training ADR-009 remains proposed.</x:v>
      </x:c>
      <x:c r="F36" s="66" t="str"/>
      <x:c r="G36" s="66" t="str">
        <x:v>T4, lines 907–929, 2:50:59–2:55:31; 1009–1091, approximately 3:09:00–3:25:00.</x:v>
      </x:c>
      <x:c r="H36" s="75" t="str">
        <x:v>No</x:v>
      </x:c>
    </x:row>
    <x:row r="37" ht="66" customHeight="1">
      <x:c r="A37" s="69" t="str">
        <x:v>CR-031</x:v>
      </x:c>
      <x:c r="B37" s="66" t="str">
        <x:v>Training and qualification</x:v>
      </x:c>
      <x:c r="C37" s="66" t="str">
        <x:v>Qualification validity based on policy and final verified assessment, rather than automatically invalidating qualification when any related awareness course becomes overdue.</x:v>
      </x:c>
      <x:c r="D37" s="72" t="str">
        <x:v>Proposed / open</x:v>
      </x:c>
      <x:c r="E37" s="66" t="str">
        <x:v>Proposed / material scope reconciliation. The workshop challenges wording read from the SOW; governing policies must determine dependencies and expiry. Training ADR-009 remains proposed. This is a substantive candidate for scope review even though no CO was explicitly raised.</x:v>
      </x:c>
      <x:c r="F37" s="66" t="str"/>
      <x:c r="G37" s="66" t="str">
        <x:v>T4, lines 1045–1077, 3:16:03–3:22:59; earlier alternatives in T2, lines 227–229 and 292–303.</x:v>
      </x:c>
      <x:c r="H37" s="75" t="str">
        <x:v>No</x:v>
      </x:c>
    </x:row>
    <x:row r="38" ht="66" customHeight="1">
      <x:c r="A38" s="69" t="str">
        <x:v>CR-032</x:v>
      </x:c>
      <x:c r="B38" s="66" t="str">
        <x:v>Training and qualification</x:v>
      </x:c>
      <x:c r="C38" s="66" t="str">
        <x:v>Separate qualification variants for equipment or work scope, including climbing versus non-climbing fall protection; optionally group related variants.</x:v>
      </x:c>
      <x:c r="D38" s="72" t="str">
        <x:v>Agreed in discussion</x:v>
      </x:c>
      <x:c r="E38" s="66" t="str">
        <x:v>Proposed current ADR; favored in discussion. Avoid a single complex qualification with many alternative requirement combinations. No equipment integration was agreed.</x:v>
      </x:c>
      <x:c r="F38" s="66" t="str"/>
      <x:c r="G38" s="66" t="str">
        <x:v>T2, lines 247–262, 0:38:45–0:41:24; T4, lines 898–907, 2:49:27–2:50:59. Training ADR-007.</x:v>
      </x:c>
      <x:c r="H38" s="75" t="str">
        <x:v>No</x:v>
      </x:c>
    </x:row>
    <x:row r="39" ht="66" customHeight="1">
      <x:c r="A39" s="69" t="str">
        <x:v>CR-033</x:v>
      </x:c>
      <x:c r="B39" s="66" t="str">
        <x:v>Training and qualification</x:v>
      </x:c>
      <x:c r="C39" s="66" t="str">
        <x:v>Authorized manager attestation of experience and competence, instead of requiring a conventional course for every qualification criterion.</x:v>
      </x:c>
      <x:c r="D39" s="72" t="str">
        <x:v>Proposed / open</x:v>
      </x:c>
      <x:c r="E39" s="66" t="str">
        <x:v>Proposed / open. Define authority, criteria and evidence. Current Training ADR-008 does not establish unrestricted evidence-free approval.</x:v>
      </x:c>
      <x:c r="F39" s="66" t="str"/>
      <x:c r="G39" s="66" t="str">
        <x:v>T2, lines 269–283, 0:42:15–0:44:08.</x:v>
      </x:c>
      <x:c r="H39" s="75" t="str">
        <x:v>No</x:v>
      </x:c>
    </x:row>
    <x:row r="40" ht="66" customHeight="1">
      <x:c r="A40" s="69" t="str">
        <x:v>CR-034</x:v>
      </x:c>
      <x:c r="B40" s="66" t="str">
        <x:v>Training and qualification</x:v>
      </x:c>
      <x:c r="C40" s="66" t="str">
        <x:v>Replace or generate a separate qualification certificate from the system's completion evidence.</x:v>
      </x:c>
      <x:c r="D40" s="72" t="str">
        <x:v>Proposed / open</x:v>
      </x:c>
      <x:c r="E40" s="66" t="str">
        <x:v>Discussed / open. A separate certificate may be redundant; no specific certificate template or automated output was approved.</x:v>
      </x:c>
      <x:c r="F40" s="66" t="str"/>
      <x:c r="G40" s="66" t="str">
        <x:v>T4, lines 1022–1027, 3:12:03–3:12:43.</x:v>
      </x:c>
      <x:c r="H40" s="75" t="str">
        <x:v>No</x:v>
      </x:c>
    </x:row>
    <x:row r="41" ht="66" customHeight="1">
      <x:c r="A41" s="69" t="str">
        <x:v>CR-035</x:v>
      </x:c>
      <x:c r="B41" s="66" t="str">
        <x:v>Training and qualification</x:v>
      </x:c>
      <x:c r="C41" s="66" t="str">
        <x:v>Clarify the fall-protection policy / assessment form, particularly the explicit classroom-training step and its relationship to the ground test.</x:v>
      </x:c>
      <x:c r="D41" s="72" t="str">
        <x:v>Proposed / open</x:v>
      </x:c>
      <x:c r="E41" s="66" t="str">
        <x:v>Proposed process/document change. Participants suggested adding a note or separating the steps. This is a change to business source material, not necessarily software scope.</x:v>
      </x:c>
      <x:c r="F41" s="66" t="str"/>
      <x:c r="G41" s="66" t="str">
        <x:v>T4, lines 947–958, 2:58:46–3:01:15.</x:v>
      </x:c>
      <x:c r="H41" s="75" t="str">
        <x:v>No</x:v>
      </x:c>
    </x:row>
    <x:row r="42" ht="66" customHeight="1">
      <x:c r="A42" s="69" t="str">
        <x:v>CR-036</x:v>
      </x:c>
      <x:c r="B42" s="66" t="str">
        <x:v>Employee, platform and incidents</x:v>
      </x:c>
      <x:c r="C42" s="66" t="str">
        <x:v>Replace the scoped SFTP employee feed with REST API delivery.</x:v>
      </x:c>
      <x:c r="D42" s="72" t="str">
        <x:v>Declined / superseded</x:v>
      </x:c>
      <x:c r="E42" s="66" t="str">
        <x:v>Discussed alternative, not selected. Boomi/EDIS and the daily feed remain the accepted architecture. The zero-cost conversion anecdote concerned another client, not a Terra-Gen quotation.</x:v>
      </x:c>
      <x:c r="F42" s="66" t="str"/>
      <x:c r="G42" s="66" t="str">
        <x:v>T5, lines 58–66, 0:08:46–0:10:36. Employee ADR-003.</x:v>
      </x:c>
      <x:c r="H42" s="75" t="str">
        <x:v>No</x:v>
      </x:c>
    </x:row>
    <x:row r="43" ht="66" customHeight="1">
      <x:c r="A43" s="69" t="str">
        <x:v>CR-037</x:v>
      </x:c>
      <x:c r="B43" s="66" t="str">
        <x:v>Employee, platform and incidents</x:v>
      </x:c>
      <x:c r="C43" s="66" t="str">
        <x:v>Automate remote-worker establishment assignment from location, jurisdiction and reporting-chain rules instead of manual spreadsheet assignment.</x:v>
      </x:c>
      <x:c r="D43" s="72" t="str">
        <x:v>Accepted design</x:v>
      </x:c>
      <x:c r="E43" s="66" t="str">
        <x:v>Accepted design. Current Employee ADR-002 places the transformation in Boomi. The earlier workshop considered upstream HR and downstream alternatives.</x:v>
      </x:c>
      <x:c r="F43" s="66" t="str"/>
      <x:c r="G43" s="66" t="str">
        <x:v>T3, lines 740–787, 2:24:05–2:33:13, and 837–850; T5, lines 110–120, 0:20:44–0:23:05; T6, lines 705–706.</x:v>
      </x:c>
      <x:c r="H43" s="75" t="str">
        <x:v>No</x:v>
      </x:c>
    </x:row>
    <x:row r="44" ht="66" customHeight="1">
      <x:c r="A44" s="69" t="str">
        <x:v>CR-038</x:v>
      </x:c>
      <x:c r="B44" s="66" t="str">
        <x:v>Employee, platform and incidents</x:v>
      </x:c>
      <x:c r="C44" s="66" t="str">
        <x:v>Derive organizational / department attributes by traversing supervisors or transforming HR data.</x:v>
      </x:c>
      <x:c r="D44" s="72" t="str">
        <x:v>Accepted design</x:v>
      </x:c>
      <x:c r="E44" s="66" t="str">
        <x:v>Discussed; broader hierarchy use deferred. Current Platform ADR-001 uses a relatively flat establishment structure at launch, not an unvalidated department security tree. Distinct from the accepted remote-establishment rule.</x:v>
      </x:c>
      <x:c r="F44" s="66" t="str"/>
      <x:c r="G44" s="66" t="str">
        <x:v>T5, lines 110–120, 0:20:44–0:23:05; T6, lines 668–740, closing organizational-data discussion.</x:v>
      </x:c>
      <x:c r="H44" s="75" t="str">
        <x:v>No</x:v>
      </x:c>
    </x:row>
    <x:row r="45" ht="66" customHeight="1">
      <x:c r="A45" s="69" t="str">
        <x:v>CR-039</x:v>
      </x:c>
      <x:c r="B45" s="66" t="str">
        <x:v>Employee, platform and incidents</x:v>
      </x:c>
      <x:c r="C45" s="66" t="str">
        <x:v>Provision employees and training before their start date, using a minimum record and adding email/account attributes later.</x:v>
      </x:c>
      <x:c r="D45" s="72" t="str">
        <x:v>Declined / superseded</x:v>
      </x:c>
      <x:c r="E45" s="66" t="str">
        <x:v>Accepted design. Approximately one week before start was discussed. Access depends on the SSO identifier; the initial grace-period enhancement was declined (CR-003).</x:v>
      </x:c>
      <x:c r="F45" s="66" t="str"/>
      <x:c r="G45" s="66" t="str">
        <x:v>T5, lines 137–205 and 262–266. Employee ADR-004.</x:v>
      </x:c>
      <x:c r="H45" s="75" t="str">
        <x:v>No</x:v>
      </x:c>
    </x:row>
    <x:row r="46" ht="66" customHeight="1">
      <x:c r="A46" s="69" t="str">
        <x:v>CR-040</x:v>
      </x:c>
      <x:c r="B46" s="66" t="str">
        <x:v>Employee, platform and incidents</x:v>
      </x:c>
      <x:c r="C46" s="66" t="str">
        <x:v>Populate Paylocity email automatically from Entra, or obtain email through an integration lookup rather than relying on manual entry.</x:v>
      </x:c>
      <x:c r="D46" s="72" t="str">
        <x:v>Agreed in discussion</x:v>
      </x:c>
      <x:c r="E46" s="66" t="str">
        <x:v>Agreed to pursue / upstream IT work. No implementation or added price established; alternative lookup was discussed.</x:v>
      </x:c>
      <x:c r="F46" s="66" t="str"/>
      <x:c r="G46" s="66" t="str">
        <x:v>T5, lines 275–284, 0:53:58–0:55:47.</x:v>
      </x:c>
      <x:c r="H46" s="75" t="str">
        <x:v>No</x:v>
      </x:c>
    </x:row>
    <x:row r="47" ht="66" customHeight="1">
      <x:c r="A47" s="69" t="str">
        <x:v>CR-041</x:v>
      </x:c>
      <x:c r="B47" s="66" t="str">
        <x:v>Employee, platform and incidents</x:v>
      </x:c>
      <x:c r="C47" s="66" t="str">
        <x:v>Daily pushed employee-integration error summary.</x:v>
      </x:c>
      <x:c r="D47" s="72" t="str">
        <x:v>Accepted design</x:v>
      </x:c>
      <x:c r="E47" s="66" t="str">
        <x:v>Accepted design. Push notification was not an out-of-the-box capability in the discussion; administrative recipients and operating details require configuration.</x:v>
      </x:c>
      <x:c r="F47" s="66" t="str"/>
      <x:c r="G47" s="66" t="str">
        <x:v>T5, lines 287–297, 0:56:18–0:58:31. Employee ADR-005.</x:v>
      </x:c>
      <x:c r="H47" s="75" t="str">
        <x:v>No</x:v>
      </x:c>
    </x:row>
    <x:row r="48" ht="66" customHeight="1">
      <x:c r="A48" s="69" t="str">
        <x:v>CR-042</x:v>
      </x:c>
      <x:c r="B48" s="66" t="str">
        <x:v>Employee, platform and incidents</x:v>
      </x:c>
      <x:c r="C48" s="66" t="str">
        <x:v>Fallback workflow routing when the expected supervisor is absent or unresolved, using the next supervisor or a site role.</x:v>
      </x:c>
      <x:c r="D48" s="72" t="str">
        <x:v>Agreed in discussion</x:v>
      </x:c>
      <x:c r="E48" s="66" t="str">
        <x:v>Proposed / workflow-specific design. No single global fallback algorithm agreed.</x:v>
      </x:c>
      <x:c r="F48" s="66" t="str"/>
      <x:c r="G48" s="66" t="str">
        <x:v>T5, lines 299–317, 0:58:47–1:02:12.</x:v>
      </x:c>
      <x:c r="H48" s="75" t="str">
        <x:v>No</x:v>
      </x:c>
    </x:row>
    <x:row r="49" ht="66" customHeight="1">
      <x:c r="A49" s="69" t="str">
        <x:v>CR-043</x:v>
      </x:c>
      <x:c r="B49" s="66" t="str">
        <x:v>Employee, platform and incidents</x:v>
      </x:c>
      <x:c r="C49" s="66" t="str">
        <x:v>New-hire notification to the relevant H&amp;S coordinator, using site/role routing.</x:v>
      </x:c>
      <x:c r="D49" s="72" t="str">
        <x:v>Agreed in discussion</x:v>
      </x:c>
      <x:c r="E49" s="66" t="str">
        <x:v>Agreed in discussion. Dependent on a maintained role model and employee-location data; no commercial change identified.</x:v>
      </x:c>
      <x:c r="F49" s="66" t="str"/>
      <x:c r="G49" s="66" t="str">
        <x:v>T5, lines 337–352, 1:06:38–1:09:17.</x:v>
      </x:c>
      <x:c r="H49" s="75" t="str">
        <x:v>No</x:v>
      </x:c>
    </x:row>
    <x:row r="50" ht="66" customHeight="1">
      <x:c r="A50" s="69" t="str">
        <x:v>CR-044</x:v>
      </x:c>
      <x:c r="B50" s="66" t="str">
        <x:v>Employee, platform and incidents</x:v>
      </x:c>
      <x:c r="C50" s="66" t="str">
        <x:v>Add a second business / technology security hierarchy, including establishment–technology tagging and site-level access beneath establishments.</x:v>
      </x:c>
      <x:c r="D50" s="72" t="str">
        <x:v>Declined / superseded</x:v>
      </x:c>
      <x:c r="E50" s="66" t="str">
        <x:v>Superseded / deferred. Initial dual-hierarchy design was replaced by establishment-based security; operational asset taxonomy remains separate. Platform ADR-002 is superseded and ADR-001 accepted. Possible later document-control use is conditional, not committed.</x:v>
      </x:c>
      <x:c r="F50" s="66" t="str"/>
      <x:c r="G50" s="66" t="str">
        <x:v>T3, lines 390–397 and 475–510, approximately 1:12–1:39; T6, lines 668–740; T7, lines 339–360, 1:06:00–1:11:29.</x:v>
      </x:c>
      <x:c r="H50" s="75" t="str">
        <x:v>No</x:v>
      </x:c>
    </x:row>
    <x:row r="51" ht="66" customHeight="1">
      <x:c r="A51" s="69" t="str">
        <x:v>CR-045</x:v>
      </x:c>
      <x:c r="B51" s="66" t="str">
        <x:v>Employee, platform and incidents</x:v>
      </x:c>
      <x:c r="C51" s="66" t="str">
        <x:v>Exceptional cross-site access for high-voltage / central teams and users responsible for disjoint sites, separate from their home establishment.</x:v>
      </x:c>
      <x:c r="D51" s="72" t="str">
        <x:v>Proposed / open</x:v>
      </x:c>
      <x:c r="E51" s="66" t="str">
        <x:v>Proposed / open. Investigate explicit access assignments or governed groups; current Platform ADR-003 remains proposed.</x:v>
      </x:c>
      <x:c r="F51" s="66" t="str"/>
      <x:c r="G51" s="66" t="str">
        <x:v>T3, lines 718–724, 2:20:14–2:21:32, and the surrounding home/access discussion.</x:v>
      </x:c>
      <x:c r="H51" s="75" t="str">
        <x:v>No</x:v>
      </x:c>
    </x:row>
    <x:row r="52" ht="66" customHeight="1">
      <x:c r="A52" s="69" t="str">
        <x:v>CR-046</x:v>
      </x:c>
      <x:c r="B52" s="66" t="str">
        <x:v>Employee, platform and incidents</x:v>
      </x:c>
      <x:c r="C52" s="66" t="str">
        <x:v>Restrict incident visibility independently of establishment membership, allowing supervisors task access without permanent visibility of all incidents.</x:v>
      </x:c>
      <x:c r="D52" s="72" t="str">
        <x:v>Accepted design</x:v>
      </x:c>
      <x:c r="E52" s="66" t="str">
        <x:v>Accepted current design in Incident ADR-003. The stored transcript establishes the privacy concern; the ADR records the later workflow-derived access solution. The later decision's transcript trail is incomplete.</x:v>
      </x:c>
      <x:c r="F52" s="66" t="str"/>
      <x:c r="G52" s="66" t="str">
        <x:v>T3, lines 419–440, 1:16:39–1:21:20; current solution: Incident ADR-003.</x:v>
      </x:c>
      <x:c r="H52" s="75" t="str">
        <x:v>No</x:v>
      </x:c>
    </x:row>
    <x:row r="53" ht="66" customHeight="1">
      <x:c r="A53" s="69" t="str">
        <x:v>CR-047</x:v>
      </x:c>
      <x:c r="B53" s="66" t="str">
        <x:v>Employee, platform and incidents</x:v>
      </x:c>
      <x:c r="C53" s="66" t="str">
        <x:v>Capture operational site/resource separately from the employee's establishment on incidents, with filtered selection and reporting by resource.</x:v>
      </x:c>
      <x:c r="D53" s="72" t="str">
        <x:v>Proposed / open</x:v>
      </x:c>
      <x:c r="E53" s="66" t="str">
        <x:v>Proposed / open in Incident ADR-001. Site/resource identity and exceptional establishment overrides need detailed rules.</x:v>
      </x:c>
      <x:c r="F53" s="66" t="str"/>
      <x:c r="G53" s="66" t="str">
        <x:v>T3, lines 475–525, 1:32:49–1:42:48, and 605 onward.</x:v>
      </x:c>
      <x:c r="H53" s="75" t="str">
        <x:v>No</x:v>
      </x:c>
    </x:row>
    <x:row r="54" ht="66" customHeight="1">
      <x:c r="A54" s="69" t="str">
        <x:v>CR-048</x:v>
      </x:c>
      <x:c r="B54" s="66" t="str">
        <x:v>Employee, platform and incidents</x:v>
      </x:c>
      <x:c r="C54" s="66" t="str">
        <x:v>Contractor self-service, contractor-specific security and workflows.</x:v>
      </x:c>
      <x:c r="D54" s="72" t="str">
        <x:v>Discussed / future</x:v>
      </x:c>
      <x:c r="E54" s="66" t="str">
        <x:v>Discussed / deferred. Initial direction is internal Terra-Gen entry of contractor incidents; no contractor login solution was committed.</x:v>
      </x:c>
      <x:c r="F54" s="66" t="str"/>
      <x:c r="G54" s="66" t="str">
        <x:v>T3, lines 797–825, 2:35:23–2:41:00. Incident ADR-002 remains proposed.</x:v>
      </x:c>
      <x:c r="H54" s="75" t="str">
        <x:v>No</x:v>
      </x:c>
    </x:row>
    <x:row r="55" ht="66" customHeight="1">
      <x:c r="A55" s="69" t="str">
        <x:v>CR-049</x:v>
      </x:c>
      <x:c r="B55" s="66" t="str">
        <x:v>Employee, platform and incidents</x:v>
      </x:c>
      <x:c r="C55" s="66" t="str">
        <x:v>Import contractor incident / KPI data from existing contractor systems, including ISNetworld, rather than maintaining only manually entered incidents.</x:v>
      </x:c>
      <x:c r="D55" s="72" t="str">
        <x:v>Discussed / future</x:v>
      </x:c>
      <x:c r="E55" s="66" t="str">
        <x:v>Discussed / future. Source ownership and integration boundary unresolved; no automated feed committed.</x:v>
      </x:c>
      <x:c r="F55" s="66" t="str"/>
      <x:c r="G55" s="66" t="str">
        <x:v>T3, lines 797–825, 2:35:23–2:41:00. Incident ADR-002.</x:v>
      </x:c>
      <x:c r="H55" s="75" t="str">
        <x:v>No</x:v>
      </x:c>
    </x:row>
    <x:row r="56" ht="66" customHeight="1">
      <x:c r="A56" s="69" t="str">
        <x:v>CR-050</x:v>
      </x:c>
      <x:c r="B56" s="66" t="str">
        <x:v>Employee, platform and incidents</x:v>
      </x:c>
      <x:c r="C56" s="66" t="str">
        <x:v>Future ERP integration.</x:v>
      </x:c>
      <x:c r="D56" s="72" t="str">
        <x:v>Discussed / future</x:v>
      </x:c>
      <x:c r="E56" s="66" t="str">
        <x:v>Discussed / future aspiration. No defined interface, scope, date or implementation commitment.</x:v>
      </x:c>
      <x:c r="F56" s="66" t="str"/>
      <x:c r="G56" s="66" t="str">
        <x:v>T3, lines 332–340, 1:00:40–1:01:47.</x:v>
      </x:c>
      <x:c r="H56" s="75" t="str">
        <x:v>No</x:v>
      </x:c>
    </x:row>
    <x:row r="57" ht="66" customHeight="1">
      <x:c r="A57" s="69" t="str">
        <x:v>CR-051</x:v>
      </x:c>
      <x:c r="B57" s="66" t="str">
        <x:v>Employee, platform and incidents</x:v>
      </x:c>
      <x:c r="C57" s="66" t="str">
        <x:v>A limited local-administrator role distinct from developer-level platform administration.</x:v>
      </x:c>
      <x:c r="D57" s="72" t="str">
        <x:v>Declined / superseded</x:v>
      </x:c>
      <x:c r="E57" s="66" t="str">
        <x:v>Discussed; not adopted for now. An example of possible custom security, not a commitment to provide local admin functionality.</x:v>
      </x:c>
      <x:c r="F57" s="66" t="str"/>
      <x:c r="G57" s="66" t="str">
        <x:v>T5, lines 407–412, 1:19:58–1:21:07.</x:v>
      </x:c>
      <x:c r="H57" s="75" t="str">
        <x:v>No</x:v>
      </x:c>
    </x:row>
    <x:row r="58" ht="66" customHeight="1">
      <x:c r="A58" s="69" t="str">
        <x:v>CR-052</x:v>
      </x:c>
      <x:c r="B58" s="66" t="str">
        <x:v>Employee, platform and incidents</x:v>
      </x:c>
      <x:c r="C58" s="66" t="str">
        <x:v>Longer inactivity timeout, such as four hours.</x:v>
      </x:c>
      <x:c r="D58" s="72" t="str">
        <x:v>Already scoped / standard</x:v>
      </x:c>
      <x:c r="E58" s="66" t="str">
        <x:v>Discussed; no change committed. Standard behavior was explained; no custom timeout implementation established.</x:v>
      </x:c>
      <x:c r="F58" s="66" t="str"/>
      <x:c r="G58" s="66" t="str">
        <x:v>T5, lines 511–518, 1:42:42–1:43:50.</x:v>
      </x:c>
      <x:c r="H58" s="75" t="str">
        <x:v>No</x:v>
      </x:c>
    </x:row>
    <x:row r="59" ht="66" customHeight="1">
      <x:c r="A59" s="69" t="str">
        <x:v>CR-053</x:v>
      </x:c>
      <x:c r="B59" s="66" t="str">
        <x:v>Employee, platform and incidents</x:v>
      </x:c>
      <x:c r="C59" s="66" t="str">
        <x:v>Extended-team reporting across multiple supervisor levels, beyond the direct-report My Staff task view.</x:v>
      </x:c>
      <x:c r="D59" s="72" t="str">
        <x:v>Already scoped / standard</x:v>
      </x:c>
      <x:c r="E59" s="66" t="str">
        <x:v>Proposed report/dashboard solution. Use a bounded supervisor traversal; do not promise alteration of the standard task view. Platform ADR-007 remains proposed.</x:v>
      </x:c>
      <x:c r="F59" s="66" t="str"/>
      <x:c r="G59" s="66" t="str">
        <x:v>T7, lines 732–736, 2:34:26–2:35:13; 777–808, 2:43:13–2:49:06.</x:v>
      </x:c>
      <x:c r="H59" s="75" t="str">
        <x:v>No</x:v>
      </x:c>
    </x:row>
    <x:row r="60" ht="66" customHeight="1">
      <x:c r="A60" s="69" t="str">
        <x:v>CR-054</x:v>
      </x:c>
      <x:c r="B60" s="66" t="str">
        <x:v>Employee, platform and incidents</x:v>
      </x:c>
      <x:c r="C60" s="66" t="str">
        <x:v>Access-request process and first-year platform change governance, including request rationale, prioritization, estimates and an approval forum.</x:v>
      </x:c>
      <x:c r="D60" s="72" t="str">
        <x:v>Agreed in discussion</x:v>
      </x:c>
      <x:c r="E60" s="66" t="str">
        <x:v>Agreed to develop; operating model open. Jeremiah was explicitly to be included. The illustrative “Stella” access request was not an approved permission change. No committed committee size or cadence.</x:v>
      </x:c>
      <x:c r="F60" s="66" t="str"/>
      <x:c r="G60" s="66" t="str">
        <x:v>T7, lines 750–775, 2:37:48–2:42:54. Platform ADR-008 remains proposed.</x:v>
      </x:c>
      <x:c r="H60" s="75" t="str">
        <x:v>No</x:v>
      </x:c>
    </x:row>
    <x:row r="61" ht="66" customHeight="1">
      <x:c r="A61" s="69" t="str">
        <x:v>CR-055</x:v>
      </x:c>
      <x:c r="B61" s="66" t="str">
        <x:v>Inspections</x:v>
      </x:c>
      <x:c r="C61" s="66" t="str">
        <x:v>Include three inspection programs in Phase 1, although inspections were reportedly not originally intended to be included.</x:v>
      </x:c>
      <x:c r="D61" s="72" t="str">
        <x:v>Agreed in discussion</x:v>
      </x:c>
      <x:c r="E61" s="66" t="str">
        <x:v>Historical scope expansion described as already agreed / scoped. This is evidence of an earlier scope negotiation, not a newly approved CO during the workshop. Broader replacement remains incremental.</x:v>
      </x:c>
      <x:c r="F61" s="66" t="str"/>
      <x:c r="G61" s="66" t="str">
        <x:v>T5, lines 599–620, 2:01:00–2:04:48, especially line 604; T1, 30:49–31:34. Inspections ADR-010 remains proposed for migration details.</x:v>
      </x:c>
      <x:c r="H61" s="75" t="str">
        <x:v>No</x:v>
      </x:c>
    </x:row>
    <x:row r="62" ht="66" customHeight="1">
      <x:c r="A62" s="69" t="str">
        <x:v>CR-056</x:v>
      </x:c>
      <x:c r="B62" s="66" t="str">
        <x:v>Inspections</x:v>
      </x:c>
      <x:c r="C62" s="66" t="str">
        <x:v>Reuse the Essentials inspection configuration and add program-specific review / approval, reviewer roles, review deadlines and optional additional review.</x:v>
      </x:c>
      <x:c r="D62" s="72" t="str">
        <x:v>Already scoped / standard</x:v>
      </x:c>
      <x:c r="E62" s="66" t="str">
        <x:v>Accepted design. Review workflow was explicitly absent from the demonstrated standard product. Reuse was discussed as the implementation approach, without a separate fee or CO approval.</x:v>
      </x:c>
      <x:c r="F62" s="66" t="str"/>
      <x:c r="G62" s="66" t="str">
        <x:v>T1, 17:23–22:09; T5, lines 629–710, 2:06:29–2:20:50. Inspections ADR-002 and ADR-006.</x:v>
      </x:c>
      <x:c r="H62" s="75" t="str">
        <x:v>No</x:v>
      </x:c>
    </x:row>
    <x:row r="63" ht="66" customHeight="1">
      <x:c r="A63" s="69" t="str">
        <x:v>CR-057</x:v>
      </x:c>
      <x:c r="B63" s="66" t="str">
        <x:v>Inspections</x:v>
      </x:c>
      <x:c r="C63" s="66" t="str">
        <x:v>Simplify inspection controls: require completed checklists, enable sections, hide numeric scoring and default/hide the corrective-action type.</x:v>
      </x:c>
      <x:c r="D63" s="72" t="str">
        <x:v>Accepted design</x:v>
      </x:c>
      <x:c r="E63" s="66" t="str">
        <x:v>Accepted design. Record actual configuration changes without assuming additional commercial scope.</x:v>
      </x:c>
      <x:c r="F63" s="66" t="str"/>
      <x:c r="G63" s="66" t="str">
        <x:v>T5, lines 757–782, 875 onward, and 945–951. Inspections ADR-004, ADR-011 and ADR-013.</x:v>
      </x:c>
      <x:c r="H63" s="75" t="str">
        <x:v>No</x:v>
      </x:c>
    </x:row>
    <x:row r="64" ht="66" customHeight="1">
      <x:c r="A64" s="69" t="str">
        <x:v>CR-058</x:v>
      </x:c>
      <x:c r="B64" s="66" t="str">
        <x:v>Inspections</x:v>
      </x:c>
      <x:c r="C64" s="66" t="str">
        <x:v>Conditional questions / branching and answer-specific requirements, including comments or actions for negative and not-applicable responses.</x:v>
      </x:c>
      <x:c r="D64" s="72" t="str">
        <x:v>Accepted design</x:v>
      </x:c>
      <x:c r="E64" s="66" t="str">
        <x:v>Accepted basic design. One practical follow-up tier is the normal pattern; deeper branching was discussed, not approved as an unrestricted complex rule engine.</x:v>
      </x:c>
      <x:c r="F64" s="66" t="str"/>
      <x:c r="G64" s="66" t="str">
        <x:v>T1, approximately 08:40–08:54; T5, lines 877–921. Inspections ADR-003.</x:v>
      </x:c>
      <x:c r="H64" s="75" t="str">
        <x:v>No</x:v>
      </x:c>
    </x:row>
    <x:row r="65" ht="66" customHeight="1">
      <x:c r="A65" s="69" t="str">
        <x:v>CR-059</x:v>
      </x:c>
      <x:c r="B65" s="66" t="str">
        <x:v>Inspections</x:v>
      </x:c>
      <x:c r="C65" s="66" t="str">
        <x:v>Formal Findings records and severity / investigation details between failed questions and actions.</x:v>
      </x:c>
      <x:c r="D65" s="72" t="str">
        <x:v>Declined / superseded</x:v>
      </x:c>
      <x:c r="E65" s="66" t="str">
        <x:v>Discussed, then not selected for the initial pathway. Use failed responses, comments and direct actions; a future audit program may justify reintroducing Findings.</x:v>
      </x:c>
      <x:c r="F65" s="66" t="str"/>
      <x:c r="G65" s="66" t="str">
        <x:v>T1, 11:00–16:58; T5, lines 783–830, 2:35:00–2:45:43. Inspections ADR-005 is accepted.</x:v>
      </x:c>
      <x:c r="H65" s="75" t="str">
        <x:v>No</x:v>
      </x:c>
    </x:row>
    <x:row r="66" ht="66" customHeight="1">
      <x:c r="A66" s="69" t="str">
        <x:v>CR-060</x:v>
      </x:c>
      <x:c r="B66" s="66" t="str">
        <x:v>Inspections</x:v>
      </x:c>
      <x:c r="C66" s="66" t="str">
        <x:v>Record an action as already completed at creation, capturing who completed it, when and what was done.</x:v>
      </x:c>
      <x:c r="D66" s="72" t="str">
        <x:v>Accepted design</x:v>
      </x:c>
      <x:c r="E66" s="66" t="str">
        <x:v>Accepted design; explicit small addition. Avoid creating and closing an artificial open task. Completion notes remain required.</x:v>
      </x:c>
      <x:c r="F66" s="66" t="str"/>
      <x:c r="G66" s="66" t="str">
        <x:v>T5, lines 923–935, 3:05:46–3:08:13; T6, lines 109–112. Inspections ADR-013.</x:v>
      </x:c>
      <x:c r="H66" s="75" t="str">
        <x:v>No</x:v>
      </x:c>
    </x:row>
    <x:row r="67" ht="66" customHeight="1">
      <x:c r="A67" s="69" t="str">
        <x:v>CR-061</x:v>
      </x:c>
      <x:c r="B67" s="66" t="str">
        <x:v>Inspections</x:v>
      </x:c>
      <x:c r="C67" s="66" t="str">
        <x:v>External / third-party inspection type without an internal checklist, with external party, date, uploaded report and directly entered actions.</x:v>
      </x:c>
      <x:c r="D67" s="72" t="str">
        <x:v>Accepted design</x:v>
      </x:c>
      <x:c r="E67" s="66" t="str">
        <x:v>Accepted design. Add/configure the external-inspection behavior; does not include automatic report parsing.</x:v>
      </x:c>
      <x:c r="F67" s="66" t="str"/>
      <x:c r="G67" s="66" t="str">
        <x:v>T6, lines 40–67, 0:06:34–0:12:05. Inspections ADR-002 and ADR-005.</x:v>
      </x:c>
      <x:c r="H67" s="75" t="str">
        <x:v>No</x:v>
      </x:c>
    </x:row>
    <x:row r="68" ht="66" customHeight="1">
      <x:c r="A68" s="69" t="str">
        <x:v>CR-062</x:v>
      </x:c>
      <x:c r="B68" s="66" t="str">
        <x:v>Inspections</x:v>
      </x:c>
      <x:c r="C68" s="66" t="str">
        <x:v>Import third-party audit reports / action lists automatically, potentially through a custom parser or loader.</x:v>
      </x:c>
      <x:c r="D68" s="72" t="str">
        <x:v>Declined / superseded</x:v>
      </x:c>
      <x:c r="E68" s="66" t="str">
        <x:v>Discussed; not selected. Manual action entry against the uploaded report was favored. No generalized external-report import was committed.</x:v>
      </x:c>
      <x:c r="F68" s="66" t="str"/>
      <x:c r="G68" s="66" t="str">
        <x:v>T6, lines 68–72 and 115–143, 0:12:12–0:29:04.</x:v>
      </x:c>
      <x:c r="H68" s="75" t="str">
        <x:v>No</x:v>
      </x:c>
    </x:row>
    <x:row r="69" ht="66" customHeight="1">
      <x:c r="A69" s="69" t="str">
        <x:v>CR-063</x:v>
      </x:c>
      <x:c r="B69" s="66" t="str">
        <x:v>Inspections</x:v>
      </x:c>
      <x:c r="C69" s="66" t="str">
        <x:v>Add a separate external finding/context text field to each action.</x:v>
      </x:c>
      <x:c r="D69" s="72" t="str">
        <x:v>Declined / superseded</x:v>
      </x:c>
      <x:c r="E69" s="66" t="str">
        <x:v>Declined for the initial design. Try the existing action description and source report first.</x:v>
      </x:c>
      <x:c r="F69" s="66" t="str"/>
      <x:c r="G69" s="66" t="str">
        <x:v>T6, lines 121–143, ending 0:29:04.</x:v>
      </x:c>
      <x:c r="H69" s="75" t="str">
        <x:v>No</x:v>
      </x:c>
    </x:row>
    <x:row r="70" ht="66" customHeight="1">
      <x:c r="A70" s="69" t="str">
        <x:v>CR-064</x:v>
      </x:c>
      <x:c r="B70" s="66" t="str">
        <x:v>Inspections</x:v>
      </x:c>
      <x:c r="C70" s="66" t="str">
        <x:v>Separate inspection completion from action closure and show a derived overall status, such as complete with open actions.</x:v>
      </x:c>
      <x:c r="D70" s="72" t="str">
        <x:v>Declined / superseded</x:v>
      </x:c>
      <x:c r="E70" s="66" t="str">
        <x:v>Accepted design. Alternative of keeping the inspection workflow open until all actions close was not selected. Exact status labels and escalations need configuration.</x:v>
      </x:c>
      <x:c r="F70" s="66" t="str"/>
      <x:c r="G70" s="66" t="str">
        <x:v>T6, lines 73–112, 0:13:27 onward. Inspections ADR-015.</x:v>
      </x:c>
      <x:c r="H70" s="75" t="str">
        <x:v>No</x:v>
      </x:c>
    </x:row>
    <x:row r="71" ht="66" customHeight="1">
      <x:c r="A71" s="69" t="str">
        <x:v>CR-065</x:v>
      </x:c>
      <x:c r="B71" s="66" t="str">
        <x:v>Inspections</x:v>
      </x:c>
      <x:c r="C71" s="66" t="str">
        <x:v>Configurable equipment references by inspection program, using text initially or an equipment library, with requiredness where enabled.</x:v>
      </x:c>
      <x:c r="D71" s="72" t="str">
        <x:v>Accepted design</x:v>
      </x:c>
      <x:c r="E71" s="66" t="str">
        <x:v>Accepted ADR direction; workshop details were tentative. Current Inspections ADR-012 says identification is mandatory when tracking is enabled; the transcript also discusses leaving requiredness configurable. Confirm this detail in build review rather than presenting the conversation as unambiguous.</x:v>
      </x:c>
      <x:c r="F71" s="66" t="str"/>
      <x:c r="G71" s="66" t="str">
        <x:v>T5, lines 831–855, 2:46:01–2:51:11.</x:v>
      </x:c>
      <x:c r="H71" s="75" t="str">
        <x:v>No</x:v>
      </x:c>
    </x:row>
    <x:row r="72" ht="66" customHeight="1">
      <x:c r="A72" s="69" t="str">
        <x:v>CR-066</x:v>
      </x:c>
      <x:c r="B72" s="66" t="str">
        <x:v>Inspections</x:v>
      </x:c>
      <x:c r="C72" s="66" t="str">
        <x:v>Governed site/resource/asset taxonomy and establishment-filtered selection, with reusable grouping and potentially an authoritative asset feed.</x:v>
      </x:c>
      <x:c r="D72" s="72" t="str">
        <x:v>Proposed / open</x:v>
      </x:c>
      <x:c r="E72" s="66" t="str">
        <x:v>Proposed / open. A dedicated asset-hierarchy discussion was needed. Do not infer a committed Softwrench feed, automated hierarchy integration or equipment-level inventory.</x:v>
      </x:c>
      <x:c r="F72" s="66" t="str"/>
      <x:c r="G72" s="66" t="str">
        <x:v>T6, lines 247–250, 301–343, 384–485, 610–613 and 668–672. Inspections ADR-017.</x:v>
      </x:c>
      <x:c r="H72" s="75" t="str">
        <x:v>No</x:v>
      </x:c>
    </x:row>
    <x:row r="73" ht="66" customHeight="1">
      <x:c r="A73" s="69" t="str">
        <x:v>CR-067</x:v>
      </x:c>
      <x:c r="B73" s="66" t="str">
        <x:v>Inspections</x:v>
      </x:c>
      <x:c r="C73" s="66" t="str">
        <x:v>Inspection dashboards for failed questions, repeated failures, open actions, trends and missing sites, with categorical pass/fail instead of displayed numeric percentages.</x:v>
      </x:c>
      <x:c r="D73" s="72" t="str">
        <x:v>Accepted design</x:v>
      </x:c>
      <x:c r="E73" s="66" t="str">
        <x:v>Mixed: categorical outcome direction accepted in ADR-004; full KPI/report catalogue proposed in ADR-009. A later pass/fail summary was discussed as a bonus, not a separately priced deliverable. Missing-site coverage depends on CR-004.</x:v>
      </x:c>
      <x:c r="F73" s="66" t="str"/>
      <x:c r="G73" s="66" t="str">
        <x:v>T1, 29:14 onward; T5, lines 856–863 and 915–921; T6, lines 624–654; T7, lines 805–808.</x:v>
      </x:c>
      <x:c r="H73" s="75" t="str">
        <x:v>No</x:v>
      </x:c>
    </x:row>
    <x:row r="74" ht="66" customHeight="1">
      <x:c r="A74" s="69" t="str">
        <x:v>CR-068</x:v>
      </x:c>
      <x:c r="B74" s="66" t="str">
        <x:v>Inspections</x:v>
      </x:c>
      <x:c r="C74" s="66" t="str">
        <x:v>Branded portable inspection PDF, suitable for external sharing and record retention.</x:v>
      </x:c>
      <x:c r="D74" s="72" t="str">
        <x:v>Proposed / open</x:v>
      </x:c>
      <x:c r="E74" s="66" t="str">
        <x:v>Proposed / open in Inspections ADR-007; Merge Templates identified as the approach. Not a promise of the separate multi-inspection SPCC output in CR-005.</x:v>
      </x:c>
      <x:c r="F74" s="66" t="str"/>
      <x:c r="G74" s="66" t="str">
        <x:v>T1, 22:09–23:10.</x:v>
      </x:c>
      <x:c r="H74" s="75" t="str">
        <x:v>No</x:v>
      </x:c>
    </x:row>
    <x:row r="75" ht="66" customHeight="1">
      <x:c r="A75" s="69" t="str">
        <x:v>CR-069</x:v>
      </x:c>
      <x:c r="B75" s="66" t="str">
        <x:v>Inspections</x:v>
      </x:c>
      <x:c r="C75" s="66" t="str">
        <x:v>Clone prior inspection answers to reduce repeat entry.</x:v>
      </x:c>
      <x:c r="D75" s="72" t="str">
        <x:v>Discussed / future</x:v>
      </x:c>
      <x:c r="E75" s="66" t="str">
        <x:v>Discussed only. No approval; must be reconciled with the requirement for a fresh inspection rather than assumed responses.</x:v>
      </x:c>
      <x:c r="F75" s="66" t="str"/>
      <x:c r="G75" s="66" t="str">
        <x:v>T6, lines 542–544, 1:58:05–1:58:29.</x:v>
      </x:c>
      <x:c r="H75" s="75" t="str">
        <x:v>No</x:v>
      </x:c>
    </x:row>
    <x:row r="76" ht="66" customHeight="1">
      <x:c r="A76" s="69" t="str">
        <x:v>CR-070</x:v>
      </x:c>
      <x:c r="B76" s="66" t="str">
        <x:v>Inspections</x:v>
      </x:c>
      <x:c r="C76" s="66" t="str">
        <x:v>NFC / QR-driven inspection launch, prepopulating location, equipment and checklist.</x:v>
      </x:c>
      <x:c r="D76" s="72" t="str">
        <x:v>Discussed / future</x:v>
      </x:c>
      <x:c r="E76" s="66" t="str">
        <x:v>Discussed / future. Device capabilities and tags were suggestions, not a hardware order or committed enhancement.</x:v>
      </x:c>
      <x:c r="F76" s="66" t="str"/>
      <x:c r="G76" s="66" t="str">
        <x:v>T5, lines 552–561, 1:50:30–1:52:34.</x:v>
      </x:c>
      <x:c r="H76" s="75" t="str">
        <x:v>No</x:v>
      </x:c>
    </x:row>
    <x:row r="77" ht="66" customHeight="1">
      <x:c r="A77" s="69" t="str">
        <x:v>CR-071</x:v>
      </x:c>
      <x:c r="B77" s="66" t="str">
        <x:v>Inspections</x:v>
      </x:c>
      <x:c r="C77" s="66" t="str">
        <x:v>Shared-device or kiosk execution, including device-specific accounts.</x:v>
      </x:c>
      <x:c r="D77" s="72" t="str">
        <x:v>Agreed in discussion</x:v>
      </x:c>
      <x:c r="E77" s="66" t="str">
        <x:v>Discussed only. Stationary kiosks were illustrated; shared offline use was a poor fit. Device-specific licensing was mentioned, without an agreed deployment.</x:v>
      </x:c>
      <x:c r="F77" s="66" t="str"/>
      <x:c r="G77" s="66" t="str">
        <x:v>T5, lines 535–549, 1:46:41–1:49:48.</x:v>
      </x:c>
      <x:c r="H77" s="75" t="str">
        <x:v>No</x:v>
      </x:c>
    </x:row>
    <x:row r="78" ht="66" customHeight="1">
      <x:c r="A78" s="69" t="str">
        <x:v>CR-072</x:v>
      </x:c>
      <x:c r="B78" s="66" t="str">
        <x:v>Document control and cross-application</x:v>
      </x:c>
      <x:c r="C78" s="66" t="str">
        <x:v>Expand controlled-document use beyond EHS, including legal, corporate policy, FERC/NERC and other governed content.</x:v>
      </x:c>
      <x:c r="D78" s="72" t="str">
        <x:v>Discussed / future</x:v>
      </x:c>
      <x:c r="E78" s="66" t="str">
        <x:v>Discussed / future expansion. Platform capability was explored; no blanket migration commitment or additional departmental rollout was approved.</x:v>
      </x:c>
      <x:c r="F78" s="66" t="str"/>
      <x:c r="G78" s="66" t="str">
        <x:v>T7, lines 219–243, 0:41:19–0:46:18, and 287–294.</x:v>
      </x:c>
      <x:c r="H78" s="75" t="str">
        <x:v>No</x:v>
      </x:c>
    </x:row>
    <x:row r="79" ht="66" customHeight="1">
      <x:c r="A79" s="69" t="str">
        <x:v>CR-073</x:v>
      </x:c>
      <x:c r="B79" s="66" t="str">
        <x:v>Document control and cross-application</x:v>
      </x:c>
      <x:c r="C79" s="66" t="str">
        <x:v>Migrate read-and-acknowledge requirements out of Training Management into Document Control.</x:v>
      </x:c>
      <x:c r="D79" s="72" t="str">
        <x:v>Accepted design</x:v>
      </x:c>
      <x:c r="E79" s="66" t="str">
        <x:v>Agreed in discussion; accepted current design in Document ADR-011. Reduces course scope where no quiz or training activity is required. Acknowledgements do not become Training Management course completions.</x:v>
      </x:c>
      <x:c r="F79" s="66" t="str"/>
      <x:c r="G79" s="66" t="str">
        <x:v>T7, lines 670–678, 2:20:55–2:22:33; 713–719, 2:29:58–2:31:36; 818–823, 2:51:21–2:52:26.</x:v>
      </x:c>
      <x:c r="H79" s="75" t="str">
        <x:v>No</x:v>
      </x:c>
    </x:row>
    <x:row r="80" ht="66" customHeight="1">
      <x:c r="A80" s="69" t="str">
        <x:v>CR-074</x:v>
      </x:c>
      <x:c r="B80" s="66" t="str">
        <x:v>Document control and cross-application</x:v>
      </x:c>
      <x:c r="C80" s="66" t="str">
        <x:v>Customized acknowledgement / attestation wording.</x:v>
      </x:c>
      <x:c r="D80" s="72" t="str">
        <x:v>Agreed in discussion</x:v>
      </x:c>
      <x:c r="E80" s="66" t="str">
        <x:v>Agreed direction; wording open. One global text block or label was offered. Per-document custom attestation text was requested/explored but not promised by the proposed solution.</x:v>
      </x:c>
      <x:c r="F80" s="66" t="str"/>
      <x:c r="G80" s="66" t="str">
        <x:v>T7, lines 683–710, 2:23:27–2:29:09. Document ADR-011.</x:v>
      </x:c>
      <x:c r="H80" s="75" t="str">
        <x:v>No</x:v>
      </x:c>
    </x:row>
    <x:row r="81" ht="66" customHeight="1">
      <x:c r="A81" s="69" t="str">
        <x:v>CR-075</x:v>
      </x:c>
      <x:c r="B81" s="66" t="str">
        <x:v>Document control and cross-application</x:v>
      </x:c>
      <x:c r="C81" s="66" t="str">
        <x:v>A single employee evidence report combining training and document acknowledgements.</x:v>
      </x:c>
      <x:c r="D81" s="72" t="str">
        <x:v>Discussed / future</x:v>
      </x:c>
      <x:c r="E81" s="66" t="str">
        <x:v>Discussed; single historical report not promised. Separate reports were described; unified task visibility can show obligations across applications.</x:v>
      </x:c>
      <x:c r="F81" s="66" t="str"/>
      <x:c r="G81" s="66" t="str">
        <x:v>T7, lines 713–731, 2:29:58–2:34:17.</x:v>
      </x:c>
      <x:c r="H81" s="75" t="str">
        <x:v>No</x:v>
      </x:c>
    </x:row>
    <x:row r="82" ht="66" customHeight="1">
      <x:c r="A82" s="69" t="str">
        <x:v>CR-076</x:v>
      </x:c>
      <x:c r="B82" s="66" t="str">
        <x:v>Document control and cross-application</x:v>
      </x:c>
      <x:c r="C82" s="66" t="str">
        <x:v>Renumber migrated documents using Intelex, retain searchable legacy identifiers and update embedded cross-references.</x:v>
      </x:c>
      <x:c r="D82" s="72" t="str">
        <x:v>Proposed / open</x:v>
      </x:c>
      <x:c r="E82" s="66" t="str">
        <x:v>Proposed / open in Document ADR-009. Exact numbering scheme and bulk versus phased content remediation remain decisions. This is migration/process effort, not an authorized change fee.</x:v>
      </x:c>
      <x:c r="F82" s="66" t="str"/>
      <x:c r="G82" s="66" t="str">
        <x:v>T7, lines 390–431, 1:27:52–1:36:28.</x:v>
      </x:c>
      <x:c r="H82" s="75" t="str">
        <x:v>No</x:v>
      </x:c>
    </x:row>
    <x:row r="83" ht="66" customHeight="1">
      <x:c r="A83" s="69" t="str">
        <x:v>CR-077</x:v>
      </x:c>
      <x:c r="B83" s="66" t="str">
        <x:v>Document control and cross-application</x:v>
      </x:c>
      <x:c r="C83" s="66" t="str">
        <x:v>Generate document headers, footers and related-document information from metadata / merge fields, instead of manually maintaining them.</x:v>
      </x:c>
      <x:c r="D83" s="72" t="str">
        <x:v>Agreed in discussion</x:v>
      </x:c>
      <x:c r="E83" s="66" t="str">
        <x:v>Discussed / optional. Requires preparing source files and templates; existing embedded headers would not automatically be replaced. No blanket conversion of all files was agreed.</x:v>
      </x:c>
      <x:c r="F83" s="66" t="str"/>
      <x:c r="G83" s="66" t="str">
        <x:v>T7, lines 405–410, 1:30:52–1:32:00; 435–458, 1:37:03–1:41:38.</x:v>
      </x:c>
      <x:c r="H83" s="75" t="str">
        <x:v>No</x:v>
      </x:c>
    </x:row>
    <x:row r="84" ht="66" customHeight="1">
      <x:c r="A84" s="69" t="str">
        <x:v>CR-078</x:v>
      </x:c>
      <x:c r="B84" s="66" t="str">
        <x:v>Document control and cross-application</x:v>
      </x:c>
      <x:c r="C84" s="66" t="str">
        <x:v>Multiple categories or folder placements for one document.</x:v>
      </x:c>
      <x:c r="D84" s="72" t="str">
        <x:v>Discussed / future</x:v>
      </x:c>
      <x:c r="E84" s="66" t="str">
        <x:v>Discussed; no custom multi-tag solution selected. Use independent governed taxonomy filters; establishment applicability can use existing shortcuts.</x:v>
      </x:c>
      <x:c r="F84" s="66" t="str"/>
      <x:c r="G84" s="66" t="str">
        <x:v>T7, lines 264–275, 0:50:06–0:52:32; 295–320, 0:56:51–1:02:02.</x:v>
      </x:c>
      <x:c r="H84" s="75" t="str">
        <x:v>No</x:v>
      </x:c>
    </x:row>
    <x:row r="85" ht="66" customHeight="1">
      <x:c r="A85" s="69" t="str">
        <x:v>CR-079</x:v>
      </x:c>
      <x:c r="B85" s="66" t="str">
        <x:v>Document control and cross-application</x:v>
      </x:c>
      <x:c r="C85" s="66" t="str">
        <x:v>Hide or customize unused Document Control fields / workflow to simplify the interface.</x:v>
      </x:c>
      <x:c r="D85" s="72" t="str">
        <x:v>Declined / superseded</x:v>
      </x:c>
      <x:c r="E85" s="66" t="str">
        <x:v>Not selected as the general approach. Preserve supported product configuration and settings. A specifically approved exception would need separate consideration.</x:v>
      </x:c>
      <x:c r="F85" s="66" t="str"/>
      <x:c r="G85" s="66" t="str">
        <x:v>T7, lines 41–53, 0:05:02–0:07:29. Document ADR-001 is accepted.</x:v>
      </x:c>
      <x:c r="H85" s="75" t="str">
        <x:v>No</x:v>
      </x:c>
    </x:row>
    <x:row r="86" ht="66" customHeight="1">
      <x:c r="A86" s="69" t="str">
        <x:v>CR-080</x:v>
      </x:c>
      <x:c r="B86" s="66" t="str">
        <x:v>Document control and cross-application</x:v>
      </x:c>
      <x:c r="C86" s="66" t="str">
        <x:v>Replace document-controlled revisions with collaborative editing in Intelex, or use minor/sub-version numbering.</x:v>
      </x:c>
      <x:c r="D86" s="72" t="str">
        <x:v>Already scoped / standard</x:v>
      </x:c>
      <x:c r="E86" s="66" t="str">
        <x:v>Discussed; standard process retained. Author collaboratively outside Intelex, then submit a controlled release candidate; use the revision narrative to explain administrative versus substantive change. No coauthoring engine or minor-version enhancement agreed.</x:v>
      </x:c>
      <x:c r="F86" s="66" t="str"/>
      <x:c r="G86" s="66" t="str">
        <x:v>T7, lines 601–638, 2:06:54–2:14:43; 710–712, 2:29:09–2:29:46.</x:v>
      </x:c>
      <x:c r="H86" s="75" t="str">
        <x:v>No</x:v>
      </x:c>
    </x:row>
    <x:row r="87" ht="66" customHeight="1">
      <x:c r="A87" s="70" t="str">
        <x:v>CR-081</x:v>
      </x:c>
      <x:c r="B87" s="67" t="str">
        <x:v>Document control and cross-application</x:v>
      </x:c>
      <x:c r="C87" s="67" t="str">
        <x:v>Automatically release approved documents or show a homepage digest of newly released revisions.</x:v>
      </x:c>
      <x:c r="D87" s="73" t="str">
        <x:v>Declined / superseded</x:v>
      </x:c>
      <x:c r="E87" s="67" t="str">
        <x:v>Mixed alternatives: auto-release declined in favor of deliberate release/distribution; homepage digest discussed only. Existing notification, acknowledgement or training mechanisms remain available.</x:v>
      </x:c>
      <x:c r="F87" s="67" t="str"/>
      <x:c r="G87" s="67" t="str">
        <x:v>T7, lines 658–669, 2:17:59–2:20:48. Document ADR-011.</x:v>
      </x:c>
      <x:c r="H87" s="76" t="str">
        <x:v>No</x:v>
      </x:c>
    </x:row>
  </x:sheetData>
  <x:mergeCells>
    <x:mergeCell ref="A2:H2"/>
    <x:mergeCell ref="A3:H3"/>
  </x:mergeCells>
  <x:conditionalFormatting sqref="H7:H87">
    <x:cfRule type="containsText" dxfId="0" priority="1" operator="containsText" text="Yes"/>
  </x:conditionalFormatting>
  <x:conditionalFormatting sqref="D7:D87">
    <x:cfRule type="containsText" dxfId="1" priority="2" operator="containsText" text="Declined"/>
    <x:cfRule type="containsText" dxfId="2" priority="3" operator="containsText" text="Accepted"/>
    <x:cfRule type="containsText" dxfId="3" priority="4" operator="containsText" text="Proposed"/>
  </x:conditionalFormatting>
  <x:pageMargins left="0.7" right="0.7" top="0.75" bottom="0.75" header="0.3" footer="0.3"/>
  <x:tableParts count="1">
    <x:tablePart xmlns:r="http://schemas.openxmlformats.org/officeDocument/2006/relationships" r:id="R34b8e0f20b7541d6"/>
  </x:tableParts>
</x:worksheet>
</file>

<file path=xl/worksheets/sheet3.xml><?xml version="1.0" encoding="utf-8"?>
<x:worksheet xmlns:x="http://schemas.openxmlformats.org/spreadsheetml/2006/main">
  <x:sheetPr>
    <x:tabColor rgb="FFA5A5A5"/>
  </x:sheetPr>
  <x:sheetViews>
    <x:sheetView showGridLines="0" workbookViewId="0"/>
  </x:sheetViews>
  <x:sheetFormatPr defaultRowHeight="15"/>
  <x:cols>
    <x:col min="1" max="1" width="14" hidden="0" customWidth="1"/>
    <x:col min="2" max="2" width="55" hidden="0" customWidth="1"/>
    <x:col min="3" max="3" width="13" hidden="0" customWidth="1"/>
    <x:col min="4" max="4" width="13" hidden="0" customWidth="1"/>
  </x:cols>
  <x:sheetData>
    <x:row r="2">
      <x:c r="A2" s="1" t="str">
        <x:v>Sources, coverage and interpretation notes</x:v>
      </x:c>
      <x:c r="B2" s="1"/>
      <x:c r="C2" s="1"/>
      <x:c r="D2" s="1"/>
    </x:row>
    <x:row r="4">
      <x:c r="A4" s="7" t="str">
        <x:v>Source</x:v>
      </x:c>
      <x:c r="B4" s="7" t="str">
        <x:v>Meeting</x:v>
      </x:c>
      <x:c r="C4" s="7" t="str">
        <x:v>Copies</x:v>
      </x:c>
      <x:c r="D4" s="7" t="str">
        <x:v>Lines</x:v>
      </x:c>
    </x:row>
    <x:row r="5">
      <x:c r="A5" s="10" t="str">
        <x:v>T1</x:v>
      </x:c>
      <x:c r="B5" s="10" t="str">
        <x:v>2026-08-26 — Inspections design prep</x:v>
      </x:c>
      <x:c r="C5" s="83" t="n">
        <x:v>1</x:v>
      </x:c>
      <x:c r="D5" s="83" t="n">
        <x:v>235</x:v>
      </x:c>
    </x:row>
    <x:row r="6">
      <x:c r="A6" s="11" t="str">
        <x:v>T2</x:v>
      </x:c>
      <x:c r="B6" s="11" t="str">
        <x:v>2026-09-08 — Training Management design prep</x:v>
      </x:c>
      <x:c r="C6" s="84" t="n">
        <x:v>1</x:v>
      </x:c>
      <x:c r="D6" s="84" t="n">
        <x:v>400</x:v>
      </x:c>
    </x:row>
    <x:row r="7">
      <x:c r="A7" s="11" t="str">
        <x:v>T3</x:v>
      </x:c>
      <x:c r="B7" s="11" t="str">
        <x:v>2026-09-15 — Workshop day 1, morning</x:v>
      </x:c>
      <x:c r="C7" s="84" t="n">
        <x:v>3</x:v>
      </x:c>
      <x:c r="D7" s="84" t="n">
        <x:v>853</x:v>
      </x:c>
    </x:row>
    <x:row r="8">
      <x:c r="A8" s="11" t="str">
        <x:v>T4</x:v>
      </x:c>
      <x:c r="B8" s="11" t="str">
        <x:v>2026-09-15 — Workshop day 1, afternoon</x:v>
      </x:c>
      <x:c r="C8" s="84" t="n">
        <x:v>1</x:v>
      </x:c>
      <x:c r="D8" s="84" t="n">
        <x:v>1099</x:v>
      </x:c>
    </x:row>
    <x:row r="9">
      <x:c r="A9" s="11" t="str">
        <x:v>T5</x:v>
      </x:c>
      <x:c r="B9" s="11" t="str">
        <x:v>2026-09-16 — Workshop day 2, morning</x:v>
      </x:c>
      <x:c r="C9" s="84" t="n">
        <x:v>5</x:v>
      </x:c>
      <x:c r="D9" s="84" t="n">
        <x:v>954</x:v>
      </x:c>
    </x:row>
    <x:row r="10">
      <x:c r="A10" s="11" t="str">
        <x:v>T6</x:v>
      </x:c>
      <x:c r="B10" s="11" t="str">
        <x:v>2026-09-16 — Workshop day 2, afternoon</x:v>
      </x:c>
      <x:c r="C10" s="84" t="n">
        <x:v>5</x:v>
      </x:c>
      <x:c r="D10" s="84" t="n">
        <x:v>740</x:v>
      </x:c>
    </x:row>
    <x:row r="11">
      <x:c r="A11" s="11" t="str">
        <x:v>T7</x:v>
      </x:c>
      <x:c r="B11" s="11" t="str">
        <x:v>2026-09-17 — Workshop day 3, morning</x:v>
      </x:c>
      <x:c r="C11" s="84" t="n">
        <x:v>3</x:v>
      </x:c>
      <x:c r="D11" s="84" t="n">
        <x:v>826</x:v>
      </x:c>
    </x:row>
    <x:row r="12">
      <x:c r="A12" s="79" t="str">
        <x:v>Total</x:v>
      </x:c>
      <x:c r="B12" s="79" t="str">
        <x:v>7 unique meetings</x:v>
      </x:c>
      <x:c r="C12" s="85" t="n">
        <x:v>19</x:v>
      </x:c>
      <x:c r="D12" s="85" t="n">
        <x:v>5107</x:v>
      </x:c>
    </x:row>
    <x:row r="15">
      <x:c r="A15" s="40" t="str">
        <x:v>Interpretation notes</x:v>
      </x:c>
      <x:c r="B15" s="40"/>
      <x:c r="C15" s="40"/>
      <x:c r="D15" s="40"/>
    </x:row>
    <x:row r="16" ht="32" customHeight="1">
      <x:c r="A16" s="38" t="str">
        <x:v>Identical transcript copies filed under different applications were compared by SHA-256 and counted once.</x:v>
      </x:c>
      <x:c r="B16" s="38"/>
      <x:c r="C16" s="38"/>
      <x:c r="D16" s="38"/>
    </x:row>
    <x:row r="17" ht="32" customHeight="1">
      <x:c r="A17" s="38" t="str">
        <x:v>No separate September 17 afternoon transcript exists in the repository, although further competency discussion is mentioned.</x:v>
      </x:c>
      <x:c r="B17" s="38"/>
      <x:c r="C17" s="38"/>
      <x:c r="D17" s="38"/>
    </x:row>
    <x:row r="18" ht="32" customHeight="1">
      <x:c r="A18" s="38" t="str">
        <x:v>Accepted design means an accepted repository ADR; it does not imply commercial authorization.</x:v>
      </x:c>
      <x:c r="B18" s="38"/>
      <x:c r="C18" s="38"/>
      <x:c r="D18" s="38"/>
    </x:row>
    <x:row r="19" ht="32" customHeight="1">
      <x:c r="A19" s="38" t="str">
        <x:v>Speaker labels in workshop transcripts are unreliable and were not used to identify requesters or approvers.</x:v>
      </x:c>
      <x:c r="B19" s="38"/>
      <x:c r="C19" s="38"/>
      <x:c r="D19" s="38"/>
    </x:row>
    <x:row r="20" ht="32" customHeight="1">
      <x:c r="A20" s="38" t="str">
        <x:v>Source register: docs/change-orders-and-requests.md. Transcript paths and line/timestamp references are retained in the Change Register sheet.</x:v>
      </x:c>
      <x:c r="B20" s="38"/>
      <x:c r="C20" s="38"/>
      <x:c r="D20" s="38"/>
    </x:row>
  </x:sheetData>
  <x:mergeCells>
    <x:mergeCell ref="A2:D2"/>
    <x:mergeCell ref="A15:D15"/>
    <x:mergeCell ref="A16:D16"/>
    <x:mergeCell ref="A17:D17"/>
    <x:mergeCell ref="A18:D18"/>
    <x:mergeCell ref="A19:D19"/>
    <x:mergeCell ref="A20:D20"/>
  </x:mergeCells>
  <x:pageMargins left="0.7" right="0.7" top="0.75" bottom="0.75" header="0.3" footer="0.3"/>
</x:worksheet>
</file>